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8D28184B-CC6A-4BD4-8F20-0D703443BBAE}" xr6:coauthVersionLast="47" xr6:coauthVersionMax="47" xr10:uidLastSave="{00000000-0000-0000-0000-000000000000}"/>
  <bookViews>
    <workbookView xWindow="-108" yWindow="-108" windowWidth="23256" windowHeight="12456" activeTab="5" xr2:uid="{FE71B7C5-8859-437B-B0BC-0120034EAA99}"/>
  </bookViews>
  <sheets>
    <sheet name="Sheet1" sheetId="6" r:id="rId1"/>
    <sheet name="Sheet2" sheetId="7" r:id="rId2"/>
    <sheet name="Sheet3" sheetId="8" r:id="rId3"/>
    <sheet name="Sheet4" sheetId="9" r:id="rId4"/>
    <sheet name="Dataset" sheetId="2" r:id="rId5"/>
    <sheet name="Instructions" sheetId="1" r:id="rId6"/>
    <sheet name="Solution Sheet" sheetId="5" state="hidden" r:id="rId7"/>
  </sheets>
  <definedNames>
    <definedName name="IPL">Dataset!$O$3</definedName>
    <definedName name="Slicer_Country">#N/A</definedName>
    <definedName name="Slicer_Player_Nam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60" i="2" l="1"/>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<sst xmlns="http://schemas.openxmlformats.org/spreadsheetml/2006/main" count="1134" uniqueCount="627">
  <si>
    <t>Player Name</t>
  </si>
  <si>
    <t>Runs Scored</t>
  </si>
  <si>
    <t>Strike Rate</t>
  </si>
  <si>
    <t>India</t>
  </si>
  <si>
    <t>Australia</t>
  </si>
  <si>
    <t>Pakistan</t>
  </si>
  <si>
    <t>England</t>
  </si>
  <si>
    <t>South Africa</t>
  </si>
  <si>
    <t>Total Runs Scored in the Torunament</t>
  </si>
  <si>
    <t>Total Wickets Taken</t>
  </si>
  <si>
    <t>Total Runs Scored by a Team</t>
  </si>
  <si>
    <t>Average Strike Rate of Batsmen</t>
  </si>
  <si>
    <t>Average Runs Scored by each player</t>
  </si>
  <si>
    <t>Top Wicket-Taker and Lowest Economy Rate</t>
  </si>
  <si>
    <t>Number of Players with Strike Rate Above 100</t>
  </si>
  <si>
    <t>New Zealand</t>
  </si>
  <si>
    <t>Identify the top-scoring players</t>
  </si>
  <si>
    <t>Find out who are the best bowlers in terms of wickets</t>
  </si>
  <si>
    <t>Determine the most aggressive batsmen</t>
  </si>
  <si>
    <t>Find bowlers who give away the fewest runs</t>
  </si>
  <si>
    <t>Display players with high batting performance</t>
  </si>
  <si>
    <t>Identify the top wicket-takers</t>
  </si>
  <si>
    <t>Focus on players from India and Australia</t>
  </si>
  <si>
    <t>Identify Allrounders players</t>
  </si>
  <si>
    <t>Display aggressive batsmen</t>
  </si>
  <si>
    <t>Display the most economical bowlers</t>
  </si>
  <si>
    <t>Sl.No</t>
  </si>
  <si>
    <t>Analysis to performed</t>
  </si>
  <si>
    <t>sum</t>
  </si>
  <si>
    <t>SUMIF(B2:B100, "India", C2:C100)</t>
  </si>
  <si>
    <t>Average</t>
  </si>
  <si>
    <t>Runs / Match</t>
  </si>
  <si>
    <t>Max  &amp; Min</t>
  </si>
  <si>
    <t>COUNTIF(D2:D100, "&gt;100")</t>
  </si>
  <si>
    <t>Filter by: "Runs Scored" &gt; 500.</t>
  </si>
  <si>
    <t>Filter by: "Wickets Taken" &gt;= 10.</t>
  </si>
  <si>
    <t>Sort by: "Runs Scored" (Descending)</t>
  </si>
  <si>
    <t>Sort by: "Wickets Taken" (Descending).</t>
  </si>
  <si>
    <t>Sort by: "Strike Rate" (Descending).</t>
  </si>
  <si>
    <t>Sort by: "Economy Rate" (Ascending).</t>
  </si>
  <si>
    <t>Filter by: "Team" = India or Australia.</t>
  </si>
  <si>
    <t>Filter by: "Runs Scored" &gt; 0 and "Wickets Taken" &gt; 0.</t>
  </si>
  <si>
    <t>Filter by: "Strike Rate" &gt; 120.</t>
  </si>
  <si>
    <t>Filter by: "Economy Rate" &lt; 5.0.</t>
  </si>
  <si>
    <t>Solution</t>
  </si>
  <si>
    <t>Player ID</t>
  </si>
  <si>
    <t>DOB</t>
  </si>
  <si>
    <t>Country</t>
  </si>
  <si>
    <t>Balls Played</t>
  </si>
  <si>
    <t>Batting Average</t>
  </si>
  <si>
    <t>Bowls Delivered</t>
  </si>
  <si>
    <t>Total Runs</t>
  </si>
  <si>
    <t>Economy</t>
  </si>
  <si>
    <t>A Ashish Reddy</t>
  </si>
  <si>
    <t>A Chandila</t>
  </si>
  <si>
    <t>A Chopra</t>
  </si>
  <si>
    <t>A Choudhary</t>
  </si>
  <si>
    <t>A Dananjaya</t>
  </si>
  <si>
    <t>A Flintoff</t>
  </si>
  <si>
    <t>A Hales</t>
  </si>
  <si>
    <t>A Joseph</t>
  </si>
  <si>
    <t>A Kumble</t>
  </si>
  <si>
    <t>A Mishra</t>
  </si>
  <si>
    <t>A Mithun</t>
  </si>
  <si>
    <t>A Mukund</t>
  </si>
  <si>
    <t>A Nehra</t>
  </si>
  <si>
    <t>A Nel</t>
  </si>
  <si>
    <t>A Roy</t>
  </si>
  <si>
    <t>A Singh</t>
  </si>
  <si>
    <t>A Symonds</t>
  </si>
  <si>
    <t>A Turner</t>
  </si>
  <si>
    <t>A Uniyal</t>
  </si>
  <si>
    <t>A Zampa</t>
  </si>
  <si>
    <t>AA Bilakhia</t>
  </si>
  <si>
    <t>AA Chavan</t>
  </si>
  <si>
    <t>AA Jhunjhunwala</t>
  </si>
  <si>
    <t>AA Kazi</t>
  </si>
  <si>
    <t>AA Noffke</t>
  </si>
  <si>
    <t>AB Agarkar</t>
  </si>
  <si>
    <t>AB Barath</t>
  </si>
  <si>
    <t>AB de Villiers</t>
  </si>
  <si>
    <t>AB Dinda</t>
  </si>
  <si>
    <t>AB McDonald</t>
  </si>
  <si>
    <t>Abdur Razzak</t>
  </si>
  <si>
    <t>Bangladesh</t>
  </si>
  <si>
    <t>AC Blizzard</t>
  </si>
  <si>
    <t>AC Gilchrist</t>
  </si>
  <si>
    <t>AC Thomas</t>
  </si>
  <si>
    <t>AC Voges</t>
  </si>
  <si>
    <t>AD Mascarenhas</t>
  </si>
  <si>
    <t>AD Mathews</t>
  </si>
  <si>
    <t>Sri Lanka</t>
  </si>
  <si>
    <t>AD Nath</t>
  </si>
  <si>
    <t>AD Russell</t>
  </si>
  <si>
    <t>West Indies</t>
  </si>
  <si>
    <t>AF Milne</t>
  </si>
  <si>
    <t>AG Murtaza</t>
  </si>
  <si>
    <t>AG Paunikar</t>
  </si>
  <si>
    <t>AJ Finch</t>
  </si>
  <si>
    <t>AJ Tye</t>
  </si>
  <si>
    <t>AL Menaria</t>
  </si>
  <si>
    <t>AM Nayar</t>
  </si>
  <si>
    <t>AM Rahane</t>
  </si>
  <si>
    <t>AM Salvi</t>
  </si>
  <si>
    <t>AN Ahmed</t>
  </si>
  <si>
    <t>AN Ghosh</t>
  </si>
  <si>
    <t>Anand Rajan</t>
  </si>
  <si>
    <t>Anirudh Singh</t>
  </si>
  <si>
    <t>Ankit Sharma</t>
  </si>
  <si>
    <t>Ankit Soni</t>
  </si>
  <si>
    <t>Anureet Singh</t>
  </si>
  <si>
    <t>AP Dole</t>
  </si>
  <si>
    <t>AP Majumdar</t>
  </si>
  <si>
    <t>AP Tare</t>
  </si>
  <si>
    <t>AR Bawne</t>
  </si>
  <si>
    <t>AR Patel</t>
  </si>
  <si>
    <t>AS Rajpoot</t>
  </si>
  <si>
    <t>AS Raut</t>
  </si>
  <si>
    <t>AS Yadav</t>
  </si>
  <si>
    <t>AT Rayudu</t>
  </si>
  <si>
    <t>AUK Pathan</t>
  </si>
  <si>
    <t>Avesh Khan</t>
  </si>
  <si>
    <t>Azhar Mahmood</t>
  </si>
  <si>
    <t>B Akhil</t>
  </si>
  <si>
    <t>B Chipli</t>
  </si>
  <si>
    <t>B Geeves</t>
  </si>
  <si>
    <t>B Kumar</t>
  </si>
  <si>
    <t>B Laughlin</t>
  </si>
  <si>
    <t>B Lee</t>
  </si>
  <si>
    <t>B Stanlake</t>
  </si>
  <si>
    <t>B Sumanth</t>
  </si>
  <si>
    <t>BA Bhatt</t>
  </si>
  <si>
    <t>BA Stokes</t>
  </si>
  <si>
    <t>Basil Thampi</t>
  </si>
  <si>
    <t>BAW Mendis</t>
  </si>
  <si>
    <t>BB McCullum</t>
  </si>
  <si>
    <t>BB Samantray</t>
  </si>
  <si>
    <t>BB Sran</t>
  </si>
  <si>
    <t>BCJ Cutting</t>
  </si>
  <si>
    <t>BE Hendricks</t>
  </si>
  <si>
    <t>Bipul Sharma</t>
  </si>
  <si>
    <t>BJ Haddin</t>
  </si>
  <si>
    <t>BJ Hodge</t>
  </si>
  <si>
    <t>BJ Rohrer</t>
  </si>
  <si>
    <t>BMAJ Mendis</t>
  </si>
  <si>
    <t>BR Dunk</t>
  </si>
  <si>
    <t>BW Hilfenhaus</t>
  </si>
  <si>
    <t>C de Grandhomme</t>
  </si>
  <si>
    <t>C Ganapathy</t>
  </si>
  <si>
    <t>C Ingram</t>
  </si>
  <si>
    <t>C Madan</t>
  </si>
  <si>
    <t>C Munro</t>
  </si>
  <si>
    <t>C Nanda</t>
  </si>
  <si>
    <t>CA Ingram</t>
  </si>
  <si>
    <t>CA Lynn</t>
  </si>
  <si>
    <t>CA Pujara</t>
  </si>
  <si>
    <t>CH Gayle</t>
  </si>
  <si>
    <t>CH Morris</t>
  </si>
  <si>
    <t>CJ Anderson</t>
  </si>
  <si>
    <t>CJ Ferguson</t>
  </si>
  <si>
    <t>CJ Jordan</t>
  </si>
  <si>
    <t>CJ McKay</t>
  </si>
  <si>
    <t>CK Kapugedera</t>
  </si>
  <si>
    <t>CK Langeveldt</t>
  </si>
  <si>
    <t>CL White</t>
  </si>
  <si>
    <t>CM Gautam</t>
  </si>
  <si>
    <t>CR Brathwaite</t>
  </si>
  <si>
    <t>CR Woakes</t>
  </si>
  <si>
    <t>CRD Fernando</t>
  </si>
  <si>
    <t>D du Preez</t>
  </si>
  <si>
    <t>D Kalyankrishna</t>
  </si>
  <si>
    <t>D Salunkhe</t>
  </si>
  <si>
    <t>D Shorey</t>
  </si>
  <si>
    <t>D Short</t>
  </si>
  <si>
    <t>D Wiese</t>
  </si>
  <si>
    <t>D Willey</t>
  </si>
  <si>
    <t>DA Miller</t>
  </si>
  <si>
    <t>DA Warner</t>
  </si>
  <si>
    <t>DAJ Bracewell</t>
  </si>
  <si>
    <t>DB Das</t>
  </si>
  <si>
    <t>DB Ravi Teja</t>
  </si>
  <si>
    <t>DE Bollinger</t>
  </si>
  <si>
    <t>DH Yagnik</t>
  </si>
  <si>
    <t>DJ Bravo</t>
  </si>
  <si>
    <t>DJ Harris</t>
  </si>
  <si>
    <t>DJ Hooda</t>
  </si>
  <si>
    <t>DJ Hussey</t>
  </si>
  <si>
    <t>DJ Jacobs</t>
  </si>
  <si>
    <t>DJ Muthuswami</t>
  </si>
  <si>
    <t>DJ Thornely</t>
  </si>
  <si>
    <t>DJG Sammy</t>
  </si>
  <si>
    <t>DL Chahar</t>
  </si>
  <si>
    <t>DL Vettori</t>
  </si>
  <si>
    <t>DM Bravo</t>
  </si>
  <si>
    <t>DNT Zoysa</t>
  </si>
  <si>
    <t>DP Nannes</t>
  </si>
  <si>
    <t>DP Vijaykumar</t>
  </si>
  <si>
    <t>DPMD Jayawardene</t>
  </si>
  <si>
    <t>DR Martyn</t>
  </si>
  <si>
    <t>DR Smith</t>
  </si>
  <si>
    <t>DS Kulkarni</t>
  </si>
  <si>
    <t>DS Lehmann</t>
  </si>
  <si>
    <t>DT Christian</t>
  </si>
  <si>
    <t>DT Patil</t>
  </si>
  <si>
    <t>DW Steyn</t>
  </si>
  <si>
    <t>E Lewis</t>
  </si>
  <si>
    <t>EJG Morgan</t>
  </si>
  <si>
    <t>ER Dwivedi</t>
  </si>
  <si>
    <t>F Behardien</t>
  </si>
  <si>
    <t>F du Plessis</t>
  </si>
  <si>
    <t>FH Edwards</t>
  </si>
  <si>
    <t>FY Fazal</t>
  </si>
  <si>
    <t>G Gambhir</t>
  </si>
  <si>
    <t>Gagandeep Singh</t>
  </si>
  <si>
    <t>GB Hogg</t>
  </si>
  <si>
    <t>GC Smith</t>
  </si>
  <si>
    <t>GD McGrath</t>
  </si>
  <si>
    <t>GH Vihari</t>
  </si>
  <si>
    <t>GJ Bailey</t>
  </si>
  <si>
    <t>GJ Maxwell</t>
  </si>
  <si>
    <t>GR Napier</t>
  </si>
  <si>
    <t>GS Sandhu</t>
  </si>
  <si>
    <t>Gurkeerat Singh</t>
  </si>
  <si>
    <t>H Brar</t>
  </si>
  <si>
    <t>H Das</t>
  </si>
  <si>
    <t>H Gurney</t>
  </si>
  <si>
    <t>H Klaasen</t>
  </si>
  <si>
    <t>H Vihari</t>
  </si>
  <si>
    <t>H Viljoen</t>
  </si>
  <si>
    <t>Harbhajan Singh</t>
  </si>
  <si>
    <t>Harmeet Singh</t>
  </si>
  <si>
    <t>Harmeet Singh (2)</t>
  </si>
  <si>
    <t>Harpreet Singh</t>
  </si>
  <si>
    <t>HH Gibbs</t>
  </si>
  <si>
    <t>HH Pandya</t>
  </si>
  <si>
    <t>HM Amla</t>
  </si>
  <si>
    <t>HV Patel</t>
  </si>
  <si>
    <t>I Malhotra</t>
  </si>
  <si>
    <t>I Sharma</t>
  </si>
  <si>
    <t>I Sodhi</t>
  </si>
  <si>
    <t>IC Pandey</t>
  </si>
  <si>
    <t>IK Pathan</t>
  </si>
  <si>
    <t>Imran Tahir</t>
  </si>
  <si>
    <t>Iqbal Abdulla</t>
  </si>
  <si>
    <t>IR Jaggi</t>
  </si>
  <si>
    <t>Ishan Kishan</t>
  </si>
  <si>
    <t>J Archer</t>
  </si>
  <si>
    <t>J Arunkumar</t>
  </si>
  <si>
    <t>J Bairstow</t>
  </si>
  <si>
    <t>J Behrendorff</t>
  </si>
  <si>
    <t>J Botha</t>
  </si>
  <si>
    <t>J Dala</t>
  </si>
  <si>
    <t>J Denly</t>
  </si>
  <si>
    <t>J Searles</t>
  </si>
  <si>
    <t>J Suchith</t>
  </si>
  <si>
    <t>J Syed Mohammad</t>
  </si>
  <si>
    <t>J Theron</t>
  </si>
  <si>
    <t>J Yadav</t>
  </si>
  <si>
    <t>JA Morkel</t>
  </si>
  <si>
    <t>Jaskaran Singh</t>
  </si>
  <si>
    <t>JC Buttler</t>
  </si>
  <si>
    <t>JD Ryder</t>
  </si>
  <si>
    <t>JD Unadkat</t>
  </si>
  <si>
    <t>JDP Oram</t>
  </si>
  <si>
    <t>JDS Neesham</t>
  </si>
  <si>
    <t>JE Taylor</t>
  </si>
  <si>
    <t>JEC Franklin</t>
  </si>
  <si>
    <t>JH Kallis</t>
  </si>
  <si>
    <t>JJ Bumrah</t>
  </si>
  <si>
    <t>JJ Roy</t>
  </si>
  <si>
    <t>JJ van der Wath</t>
  </si>
  <si>
    <t>JM Kemp</t>
  </si>
  <si>
    <t>JO Holder</t>
  </si>
  <si>
    <t>Joginder Sharma</t>
  </si>
  <si>
    <t>JP Duminy</t>
  </si>
  <si>
    <t>JP Faulkner</t>
  </si>
  <si>
    <t>JR Hopes</t>
  </si>
  <si>
    <t>JW Hastings</t>
  </si>
  <si>
    <t>K Ahmed</t>
  </si>
  <si>
    <t>K Goel</t>
  </si>
  <si>
    <t>K Gowtham</t>
  </si>
  <si>
    <t>K Khejroliya</t>
  </si>
  <si>
    <t>K Paul</t>
  </si>
  <si>
    <t>K Rabada</t>
  </si>
  <si>
    <t>K Santokie</t>
  </si>
  <si>
    <t>K Upadhyay</t>
  </si>
  <si>
    <t>KA Pollard</t>
  </si>
  <si>
    <t>KAJ Roach</t>
  </si>
  <si>
    <t>Kamran Akmal</t>
  </si>
  <si>
    <t>Kamran Khan</t>
  </si>
  <si>
    <t>Karanveer Singh</t>
  </si>
  <si>
    <t>KB Arun Karthik</t>
  </si>
  <si>
    <t>KC Cariappa</t>
  </si>
  <si>
    <t>KC Sangakkara</t>
  </si>
  <si>
    <t>KD Karthik</t>
  </si>
  <si>
    <t>KH Pandya</t>
  </si>
  <si>
    <t>KJ Abbott</t>
  </si>
  <si>
    <t>KK Cooper</t>
  </si>
  <si>
    <t>KK Nair</t>
  </si>
  <si>
    <t>KL Rahul</t>
  </si>
  <si>
    <t>KM Asif</t>
  </si>
  <si>
    <t>KM Jadhav</t>
  </si>
  <si>
    <t>KMDN Kulasekara</t>
  </si>
  <si>
    <t>KP Appanna</t>
  </si>
  <si>
    <t>KP Pietersen</t>
  </si>
  <si>
    <t>KS Williamson</t>
  </si>
  <si>
    <t>Kuldeep Yadav</t>
  </si>
  <si>
    <t>KV Sharma</t>
  </si>
  <si>
    <t>KW Richardson</t>
  </si>
  <si>
    <t>L Ablish</t>
  </si>
  <si>
    <t>L Balaji</t>
  </si>
  <si>
    <t>L Ferguson</t>
  </si>
  <si>
    <t>L Livingstone</t>
  </si>
  <si>
    <t>L Ngidi</t>
  </si>
  <si>
    <t>L Plunkett</t>
  </si>
  <si>
    <t>L Ronchi</t>
  </si>
  <si>
    <t>LA Carseldine</t>
  </si>
  <si>
    <t>LA Pomersbach</t>
  </si>
  <si>
    <t>LH Ferguson</t>
  </si>
  <si>
    <t>LJ Wright</t>
  </si>
  <si>
    <t>LMP Simmons</t>
  </si>
  <si>
    <t>LPC Silva</t>
  </si>
  <si>
    <t>LR Shukla</t>
  </si>
  <si>
    <t>LRPL Taylor</t>
  </si>
  <si>
    <t>M Ali</t>
  </si>
  <si>
    <t>M Ashwin</t>
  </si>
  <si>
    <t>M de Lange</t>
  </si>
  <si>
    <t>M Kaif</t>
  </si>
  <si>
    <t>M Kartik</t>
  </si>
  <si>
    <t>M Klinger</t>
  </si>
  <si>
    <t>M Lomror</t>
  </si>
  <si>
    <t>M Manhas</t>
  </si>
  <si>
    <t>M Markande</t>
  </si>
  <si>
    <t>M Morkel</t>
  </si>
  <si>
    <t>M Muralitharan</t>
  </si>
  <si>
    <t>M Ntini</t>
  </si>
  <si>
    <t>M Rawat</t>
  </si>
  <si>
    <t>M Santner</t>
  </si>
  <si>
    <t>M Ur Rahman</t>
  </si>
  <si>
    <t>M Vijay</t>
  </si>
  <si>
    <t>M Vohra</t>
  </si>
  <si>
    <t>M Wood</t>
  </si>
  <si>
    <t>MA Agarwal</t>
  </si>
  <si>
    <t>MA Khote</t>
  </si>
  <si>
    <t>MA Starc</t>
  </si>
  <si>
    <t>Mandeep Singh</t>
  </si>
  <si>
    <t>Mashrafe Mortaza</t>
  </si>
  <si>
    <t>MB Parmar</t>
  </si>
  <si>
    <t>MC Henriques</t>
  </si>
  <si>
    <t>MC Juneja</t>
  </si>
  <si>
    <t>MD Mishra</t>
  </si>
  <si>
    <t>MDKJ Perera</t>
  </si>
  <si>
    <t>MEK Hussey</t>
  </si>
  <si>
    <t>MF Maharoof</t>
  </si>
  <si>
    <t>MG Johnson</t>
  </si>
  <si>
    <t>MG Neser</t>
  </si>
  <si>
    <t>Misbah-ul-Haq</t>
  </si>
  <si>
    <t>MJ Clarke</t>
  </si>
  <si>
    <t>MJ Guptill</t>
  </si>
  <si>
    <t>MJ Henry</t>
  </si>
  <si>
    <t>MJ Lumb</t>
  </si>
  <si>
    <t>MJ McClenaghan</t>
  </si>
  <si>
    <t>MK Pandey</t>
  </si>
  <si>
    <t>MK Tiwary</t>
  </si>
  <si>
    <t>ML Hayden</t>
  </si>
  <si>
    <t>MM Patel</t>
  </si>
  <si>
    <t>MM Sharma</t>
  </si>
  <si>
    <t>MN Samuels</t>
  </si>
  <si>
    <t>MN van Wyk</t>
  </si>
  <si>
    <t>Mohammad Ashraful</t>
  </si>
  <si>
    <t>Mohammad Asif</t>
  </si>
  <si>
    <t>Mohammad Hafeez</t>
  </si>
  <si>
    <t>Mohammad Nabi</t>
  </si>
  <si>
    <t>Mohammed Shami</t>
  </si>
  <si>
    <t>Mohammed Siraj</t>
  </si>
  <si>
    <t>MP Stoinis</t>
  </si>
  <si>
    <t>MR Marsh</t>
  </si>
  <si>
    <t>MS Bisla</t>
  </si>
  <si>
    <t>MS Dhoni</t>
  </si>
  <si>
    <t>MS Gony</t>
  </si>
  <si>
    <t>MS Wade</t>
  </si>
  <si>
    <t>Mustafizur Rahman</t>
  </si>
  <si>
    <t>MV Boucher</t>
  </si>
  <si>
    <t>N Naik</t>
  </si>
  <si>
    <t>N Pooran</t>
  </si>
  <si>
    <t>N Rana</t>
  </si>
  <si>
    <t>N Saini</t>
  </si>
  <si>
    <t>NB Singh</t>
  </si>
  <si>
    <t>ND Doshi</t>
  </si>
  <si>
    <t>Niraj Patel</t>
  </si>
  <si>
    <t>NJ Maddinson</t>
  </si>
  <si>
    <t>NJ Rimmington</t>
  </si>
  <si>
    <t>NL McCullum</t>
  </si>
  <si>
    <t>NLTC Perera</t>
  </si>
  <si>
    <t>NM Coulter-Nile</t>
  </si>
  <si>
    <t>NS Naik</t>
  </si>
  <si>
    <t>NV Ojha</t>
  </si>
  <si>
    <t>O Thomas</t>
  </si>
  <si>
    <t>OA Shah</t>
  </si>
  <si>
    <t>P Amarnath</t>
  </si>
  <si>
    <t>P Awana</t>
  </si>
  <si>
    <t>P Chopra</t>
  </si>
  <si>
    <t>P Dogra</t>
  </si>
  <si>
    <t>P Krishna</t>
  </si>
  <si>
    <t>P Kumar</t>
  </si>
  <si>
    <t>P Negi</t>
  </si>
  <si>
    <t>P Parameswaran</t>
  </si>
  <si>
    <t>P Prasanth</t>
  </si>
  <si>
    <t>P R Barman</t>
  </si>
  <si>
    <t>P Raj</t>
  </si>
  <si>
    <t>P Sahu</t>
  </si>
  <si>
    <t>P Shaw</t>
  </si>
  <si>
    <t>P Suyal</t>
  </si>
  <si>
    <t>PA Patel</t>
  </si>
  <si>
    <t>PA Reddy</t>
  </si>
  <si>
    <t>Pankaj Singh</t>
  </si>
  <si>
    <t>Parvez Rasool</t>
  </si>
  <si>
    <t>PC Valthaty</t>
  </si>
  <si>
    <t>PD Collingwood</t>
  </si>
  <si>
    <t>PJ Cummins</t>
  </si>
  <si>
    <t>PJ Sangwan</t>
  </si>
  <si>
    <t>PM Sarvesh Kumar</t>
  </si>
  <si>
    <t>PP Chawla</t>
  </si>
  <si>
    <t>PP Ojha</t>
  </si>
  <si>
    <t>PR Shah</t>
  </si>
  <si>
    <t>PSP Handscomb</t>
  </si>
  <si>
    <t>PV Tambe</t>
  </si>
  <si>
    <t>Q de Kock</t>
  </si>
  <si>
    <t>R Ashwin</t>
  </si>
  <si>
    <t>R Bhatia</t>
  </si>
  <si>
    <t>R Bhui</t>
  </si>
  <si>
    <t>R Bishnoi</t>
  </si>
  <si>
    <t>R Dhawan</t>
  </si>
  <si>
    <t>R Dravid</t>
  </si>
  <si>
    <t>R McLaren</t>
  </si>
  <si>
    <t>R Ninan</t>
  </si>
  <si>
    <t>R Parag</t>
  </si>
  <si>
    <t>R Rampaul</t>
  </si>
  <si>
    <t>R Salam</t>
  </si>
  <si>
    <t>R Sathish</t>
  </si>
  <si>
    <t>R Sharma</t>
  </si>
  <si>
    <t>R Shukla</t>
  </si>
  <si>
    <t>R Singh</t>
  </si>
  <si>
    <t>R Tewatia</t>
  </si>
  <si>
    <t>R Vinay Kumar</t>
  </si>
  <si>
    <t>RA Jadeja</t>
  </si>
  <si>
    <t>RA Shaikh</t>
  </si>
  <si>
    <t>RA Tripathi</t>
  </si>
  <si>
    <t>Rashid Khan</t>
  </si>
  <si>
    <t>RD Chahar</t>
  </si>
  <si>
    <t>RE Levi</t>
  </si>
  <si>
    <t>RE van der Merwe</t>
  </si>
  <si>
    <t>RG More</t>
  </si>
  <si>
    <t>RG Sharma</t>
  </si>
  <si>
    <t>RJ Harris</t>
  </si>
  <si>
    <t>RJ Peterson</t>
  </si>
  <si>
    <t>RJ Quiney</t>
  </si>
  <si>
    <t>RN ten Doeschate</t>
  </si>
  <si>
    <t>Netherlands</t>
  </si>
  <si>
    <t>RP Singh</t>
  </si>
  <si>
    <t>RR Bhatkal</t>
  </si>
  <si>
    <t>RR Bose</t>
  </si>
  <si>
    <t>RR Pant</t>
  </si>
  <si>
    <t>RR Powar</t>
  </si>
  <si>
    <t>RR Raje</t>
  </si>
  <si>
    <t>RR Rossouw</t>
  </si>
  <si>
    <t>RR Sarwan</t>
  </si>
  <si>
    <t>RS Bopara</t>
  </si>
  <si>
    <t>RS Gavaskar</t>
  </si>
  <si>
    <t>RS Sodhi</t>
  </si>
  <si>
    <t>RT Ponting</t>
  </si>
  <si>
    <t>RV Gomez</t>
  </si>
  <si>
    <t>RV Uthappa</t>
  </si>
  <si>
    <t>RW Price</t>
  </si>
  <si>
    <t>Zimbabwea</t>
  </si>
  <si>
    <t>S Anirudha</t>
  </si>
  <si>
    <t>S Aravind</t>
  </si>
  <si>
    <t>S Badree</t>
  </si>
  <si>
    <t>S Badrinath</t>
  </si>
  <si>
    <t>S Chanderpaul</t>
  </si>
  <si>
    <t>S Curran</t>
  </si>
  <si>
    <t>S Dhawan</t>
  </si>
  <si>
    <t>S Dube</t>
  </si>
  <si>
    <t>S Gill</t>
  </si>
  <si>
    <t>S Gopal</t>
  </si>
  <si>
    <t>S Hetmyer</t>
  </si>
  <si>
    <t>S Kaul</t>
  </si>
  <si>
    <t>S Kaushik</t>
  </si>
  <si>
    <t>S Kuggeleijn</t>
  </si>
  <si>
    <t>S Ladda</t>
  </si>
  <si>
    <t>S Lamichhane</t>
  </si>
  <si>
    <t>S Mavi</t>
  </si>
  <si>
    <t>S Midhun</t>
  </si>
  <si>
    <t>S Nadeem</t>
  </si>
  <si>
    <t>S Narwal</t>
  </si>
  <si>
    <t>S Rana</t>
  </si>
  <si>
    <t>S Randiv</t>
  </si>
  <si>
    <t>S Rutherford</t>
  </si>
  <si>
    <t>S Sharma</t>
  </si>
  <si>
    <t>S Singh</t>
  </si>
  <si>
    <t>S Sohal</t>
  </si>
  <si>
    <t>S Sreesanth</t>
  </si>
  <si>
    <t>S Sriram</t>
  </si>
  <si>
    <t>S Tyagi</t>
  </si>
  <si>
    <t>S Vidyut</t>
  </si>
  <si>
    <t>S Warrier</t>
  </si>
  <si>
    <t>SA Abbott</t>
  </si>
  <si>
    <t>SA Asnodkar</t>
  </si>
  <si>
    <t>SA Yadav</t>
  </si>
  <si>
    <t>Sachin Baby</t>
  </si>
  <si>
    <t>Salman Butt</t>
  </si>
  <si>
    <t>Sandeep Sharma</t>
  </si>
  <si>
    <t>SB Bangar</t>
  </si>
  <si>
    <t>SB Jakati</t>
  </si>
  <si>
    <t>SB Joshi</t>
  </si>
  <si>
    <t>SB Styris</t>
  </si>
  <si>
    <t>SB Wagh</t>
  </si>
  <si>
    <t>SC Ganguly</t>
  </si>
  <si>
    <t>SD Chitnis</t>
  </si>
  <si>
    <t>SD Lad</t>
  </si>
  <si>
    <t>SE Bond</t>
  </si>
  <si>
    <t>SE Marsh</t>
  </si>
  <si>
    <t>Shahid Afridi</t>
  </si>
  <si>
    <t>Shakib Al Hasan</t>
  </si>
  <si>
    <t>Shivam Sharma</t>
  </si>
  <si>
    <t>Shoaib Ahmed</t>
  </si>
  <si>
    <t>Shoaib Akhtar</t>
  </si>
  <si>
    <t>Shoaib Malik</t>
  </si>
  <si>
    <t>SJ Srivastava</t>
  </si>
  <si>
    <t>SK Raina</t>
  </si>
  <si>
    <t>SK Trivedi</t>
  </si>
  <si>
    <t>SK Warne</t>
  </si>
  <si>
    <t>SL Malinga</t>
  </si>
  <si>
    <t>SM Boland</t>
  </si>
  <si>
    <t>SM Harwood</t>
  </si>
  <si>
    <t>SM Katich</t>
  </si>
  <si>
    <t>SM Pollock</t>
  </si>
  <si>
    <t>SMSM Senanayake</t>
  </si>
  <si>
    <t>SN Khan</t>
  </si>
  <si>
    <t>SN Thakur</t>
  </si>
  <si>
    <t>Sohail Tanvir</t>
  </si>
  <si>
    <t>SP Fleming</t>
  </si>
  <si>
    <t>SP Goswami</t>
  </si>
  <si>
    <t>SP Jackson</t>
  </si>
  <si>
    <t>SP Narine</t>
  </si>
  <si>
    <t>SPD Smith</t>
  </si>
  <si>
    <t>SR Tendulkar</t>
  </si>
  <si>
    <t>SR Watson</t>
  </si>
  <si>
    <t>SS Agarwal</t>
  </si>
  <si>
    <t>SS Iyer</t>
  </si>
  <si>
    <t>SS Mundhe</t>
  </si>
  <si>
    <t>SS Sarkar</t>
  </si>
  <si>
    <t>SS Shaikh</t>
  </si>
  <si>
    <t>SS Tiwary</t>
  </si>
  <si>
    <t>ST Jayasuriya</t>
  </si>
  <si>
    <t>STR Binny</t>
  </si>
  <si>
    <t>Sunny Gupta</t>
  </si>
  <si>
    <t>Sunny Singh</t>
  </si>
  <si>
    <t>SV Samson</t>
  </si>
  <si>
    <t>SW Billings</t>
  </si>
  <si>
    <t>SW Tait</t>
  </si>
  <si>
    <t>Swapnil Singh</t>
  </si>
  <si>
    <t>T Curran</t>
  </si>
  <si>
    <t>T Henderson</t>
  </si>
  <si>
    <t>T Kohli</t>
  </si>
  <si>
    <t>T Natarajan</t>
  </si>
  <si>
    <t>T Shamsi</t>
  </si>
  <si>
    <t>T Taibu</t>
  </si>
  <si>
    <t>T Thushara</t>
  </si>
  <si>
    <t>TA Boult</t>
  </si>
  <si>
    <t>TD Paine</t>
  </si>
  <si>
    <t>Tejas Baroka</t>
  </si>
  <si>
    <t>TG Southee</t>
  </si>
  <si>
    <t>TL Suman</t>
  </si>
  <si>
    <t>TM Dilshan</t>
  </si>
  <si>
    <t>TM Head</t>
  </si>
  <si>
    <t>TM Srivastava</t>
  </si>
  <si>
    <t>TP Sudhindra</t>
  </si>
  <si>
    <t>TR Birt</t>
  </si>
  <si>
    <t>TS Mills</t>
  </si>
  <si>
    <t>U Kaul</t>
  </si>
  <si>
    <t>UA Birla</t>
  </si>
  <si>
    <t>UBT Chand</t>
  </si>
  <si>
    <t>Umar Gul</t>
  </si>
  <si>
    <t>UT Khawaja</t>
  </si>
  <si>
    <t>UT Yadav</t>
  </si>
  <si>
    <t>V Chakravarthy</t>
  </si>
  <si>
    <t>V Kohli</t>
  </si>
  <si>
    <t>V Pratap Singh</t>
  </si>
  <si>
    <t>V Sehwag</t>
  </si>
  <si>
    <t>V Shankar</t>
  </si>
  <si>
    <t>VH Zol</t>
  </si>
  <si>
    <t>Vishnu Vinod</t>
  </si>
  <si>
    <t>VR Aaron</t>
  </si>
  <si>
    <t>VRV Singh</t>
  </si>
  <si>
    <t>VS Malik</t>
  </si>
  <si>
    <t>VS Yeligati</t>
  </si>
  <si>
    <t>VVS Laxman</t>
  </si>
  <si>
    <t>VY Mahesh</t>
  </si>
  <si>
    <t>W Jaffer</t>
  </si>
  <si>
    <t>WA Mota</t>
  </si>
  <si>
    <t>Washington Sundar</t>
  </si>
  <si>
    <t>WD Parnell</t>
  </si>
  <si>
    <t>WP Saha</t>
  </si>
  <si>
    <t>WPUJC Vaas</t>
  </si>
  <si>
    <t>X Thalaivan Sargunam</t>
  </si>
  <si>
    <t>Y Gnaneswara Rao</t>
  </si>
  <si>
    <t>Y Nagar</t>
  </si>
  <si>
    <t>Y Venugopal Rao</t>
  </si>
  <si>
    <t>YA Abdulla</t>
  </si>
  <si>
    <t>Yashpal Singh</t>
  </si>
  <si>
    <t>YK Pathan</t>
  </si>
  <si>
    <t>Younis Khan</t>
  </si>
  <si>
    <t>YS Chahal</t>
  </si>
  <si>
    <t>Yuvraj Singh</t>
  </si>
  <si>
    <t>YV Takawale</t>
  </si>
  <si>
    <t>Z Khan</t>
  </si>
  <si>
    <t>Row Labels</t>
  </si>
  <si>
    <t>(blank)</t>
  </si>
  <si>
    <t>Grand Total</t>
  </si>
  <si>
    <t>Count of Player Name</t>
  </si>
  <si>
    <t>Sum of Bowls Delivered</t>
  </si>
  <si>
    <t>Sum of Batting Average</t>
  </si>
  <si>
    <t>Sum of Balls Played</t>
  </si>
  <si>
    <t>Sum of Runs Scored</t>
  </si>
  <si>
    <t>Sum of Strike Rate</t>
  </si>
  <si>
    <t>Ipl Player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</si>
</sst>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6"/>
      <color theme="1"/>
      <name val="Aptos Narrow"/>
      <family val="2"/>
      <scheme val="minor"/>
    </font>
    <font>
      <b/>
      <sz val="16"/>
      <color theme="1"/>
      <name val="Aptos Narrow"/>
      <family val="2"/>
      <scheme val="minor"/>
    </font>
    <font>
      <sz val="8"/>
      <name val="Aptos Narrow"/>
      <family val="2"/>
      <scheme val="minor"/>
    </font>
    <font>
      <b/>
      <sz val="11"/>
      <color theme="1"/>
      <name val="Aptos Narrow"/>
      <family val="2"/>
      <scheme val="minor"/>
    </font>
    <font>
      <b/>
      <sz val="16"/>
      <color theme="0"/>
      <name val="Arial Black"/>
      <family val="2"/>
    </font>
    <font>
      <sz val="11"/>
      <color theme="0"/>
      <name val="Arial Black"/>
      <family val="2"/>
    </font>
    <font>
      <sz val="16"/>
      <color theme="0"/>
      <name val="Arial Black"/>
      <family val="2"/>
    </font>
    <font>
      <b/>
      <sz val="20"/>
      <color theme="0"/>
      <name val="Bookman Old Style"/>
      <family val="1"/>
    </font>
  </fonts>
  <fills count="6">
    <fill>
      <patternFill patternType="none"/>
    </fill>
    <fill>
      <patternFill patternType="gray125"/>
    </fill>
    <fill>
      <patternFill patternType="solid">
        <fgColor theme="3"/>
        <bgColor theme="4" tint="0.79998168889431442"/>
      </patternFill>
    </fill>
    <fill>
      <patternFill patternType="solid">
        <fgColor theme="3"/>
        <bgColor indexed="64"/>
      </patternFill>
    </fill>
    <fill>
      <patternFill patternType="solid">
        <fgColor theme="1"/>
        <bgColor indexed="64"/>
      </patternFill>
    </fill>
    <fill>
      <patternFill patternType="solid">
        <fgColor theme="1"/>
        <bgColor theme="7" tint="0.79998168889431442"/>
      </patternFill>
    </fill>
  </fills>
  <borders count="3">
    <border>
      <left/>
      <right/>
      <top/>
      <bottom/>
      <diagonal/>
    </border>
    <border>
      <left style="thin">
        <color theme="7" tint="0.39997558519241921"/>
      </left>
      <right/>
      <top style="thin">
        <color theme="7" tint="0.39997558519241921"/>
      </top>
      <bottom style="thin">
        <color theme="7" tint="0.39997558519241921"/>
      </bottom>
      <diagonal/>
    </border>
    <border>
      <left/>
      <right/>
      <top/>
      <bottom style="thin">
        <color theme="4" tint="0.39997558519241921"/>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4" fillId="2" borderId="2" xfId="0" applyFont="1" applyFill="1" applyBorder="1" applyAlignment="1">
      <alignment horizontal="center"/>
    </xf>
    <xf numFmtId="0" fontId="4" fillId="2" borderId="2" xfId="0" applyFont="1" applyFill="1" applyBorder="1"/>
    <xf numFmtId="14" fontId="4" fillId="2" borderId="2" xfId="0" applyNumberFormat="1" applyFont="1" applyFill="1" applyBorder="1"/>
    <xf numFmtId="1" fontId="4" fillId="2" borderId="2" xfId="0" applyNumberFormat="1" applyFont="1" applyFill="1" applyBorder="1"/>
    <xf numFmtId="2" fontId="4" fillId="2" borderId="2" xfId="0" applyNumberFormat="1" applyFont="1" applyFill="1" applyBorder="1" applyAlignment="1">
      <alignment horizontal="left" indent="1"/>
    </xf>
    <xf numFmtId="0" fontId="0" fillId="3" borderId="0" xfId="0" applyFill="1"/>
    <xf numFmtId="0" fontId="0" fillId="0" borderId="0" xfId="0" applyAlignment="1">
      <alignment horizontal="center"/>
    </xf>
    <xf numFmtId="14"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5" fillId="4" borderId="0" xfId="0" applyFont="1" applyFill="1" applyAlignment="1">
      <alignment horizontal="center"/>
    </xf>
    <xf numFmtId="0" fontId="6" fillId="4" borderId="0" xfId="0" applyFont="1" applyFill="1" applyAlignment="1">
      <alignment horizontal="center"/>
    </xf>
    <xf numFmtId="0" fontId="6" fillId="4" borderId="0" xfId="0" applyFont="1" applyFill="1"/>
    <xf numFmtId="0" fontId="7" fillId="4" borderId="0" xfId="0" applyFont="1" applyFill="1" applyAlignment="1">
      <alignment horizontal="center"/>
    </xf>
    <xf numFmtId="2" fontId="7" fillId="4" borderId="0" xfId="0" applyNumberFormat="1" applyFont="1" applyFill="1" applyAlignment="1">
      <alignment horizontal="center"/>
    </xf>
    <xf numFmtId="0" fontId="7" fillId="5" borderId="1" xfId="0" applyFont="1" applyFill="1" applyBorder="1" applyAlignment="1">
      <alignment horizontal="center"/>
    </xf>
    <xf numFmtId="0" fontId="7" fillId="4" borderId="1" xfId="0" applyFont="1" applyFill="1" applyBorder="1" applyAlignment="1">
      <alignment horizontal="center"/>
    </xf>
    <xf numFmtId="0" fontId="8" fillId="4" borderId="0" xfId="0" applyFont="1" applyFill="1" applyAlignment="1">
      <alignment horizontal="center"/>
    </xf>
    <xf numFmtId="0" fontId="0" fillId="0" borderId="0" xfId="0" applyNumberFormat="1"/>
  </cellXfs>
  <cellStyles count="1">
    <cellStyle name="Normal" xfId="0" builtinId="0"/>
  </cellStyles>
  <dxfs count="16">
    <dxf>
      <font>
        <b val="0"/>
        <i val="0"/>
        <strike val="0"/>
        <condense val="0"/>
        <extend val="0"/>
        <outline val="0"/>
        <shadow val="0"/>
        <u val="none"/>
        <vertAlign val="baseline"/>
        <sz val="16"/>
        <color theme="1"/>
        <name val="Aptos Narrow"/>
        <family val="2"/>
        <scheme val="minor"/>
      </font>
    </dxf>
    <dxf>
      <font>
        <b val="0"/>
        <i val="0"/>
        <strike val="0"/>
        <condense val="0"/>
        <extend val="0"/>
        <outline val="0"/>
        <shadow val="0"/>
        <u val="none"/>
        <vertAlign val="baseline"/>
        <sz val="16"/>
        <color theme="1"/>
        <name val="Aptos Narrow"/>
        <family val="2"/>
        <scheme val="minor"/>
      </font>
    </dxf>
    <dxf>
      <font>
        <b val="0"/>
        <i val="0"/>
        <strike val="0"/>
        <condense val="0"/>
        <extend val="0"/>
        <outline val="0"/>
        <shadow val="0"/>
        <u val="none"/>
        <vertAlign val="baseline"/>
        <sz val="16"/>
        <color theme="1"/>
        <name val="Aptos Narrow"/>
        <family val="2"/>
        <scheme val="minor"/>
      </font>
    </dxf>
    <dxf>
      <font>
        <b val="0"/>
        <i val="0"/>
        <strike val="0"/>
        <condense val="0"/>
        <extend val="0"/>
        <outline val="0"/>
        <shadow val="0"/>
        <u val="none"/>
        <vertAlign val="baseline"/>
        <sz val="16"/>
        <color theme="1"/>
        <name val="Aptos Narrow"/>
        <family val="2"/>
        <scheme val="minor"/>
      </font>
    </dxf>
    <dxf>
      <font>
        <b/>
        <i val="0"/>
        <strike val="0"/>
        <condense val="0"/>
        <extend val="0"/>
        <outline val="0"/>
        <shadow val="0"/>
        <u val="none"/>
        <vertAlign val="baseline"/>
        <sz val="16"/>
        <color theme="1"/>
        <name val="Aptos Narrow"/>
        <family val="2"/>
        <scheme val="minor"/>
      </font>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9" formatCode="dd/mm/yyyy"/>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Analysis.xlsx]Sheet1!PivotTable1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Number</a:t>
            </a:r>
            <a:r>
              <a:rPr lang="en-US" baseline="0"/>
              <a:t> Of Plays from a country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Sheet1!$B$2:$B$14</c:f>
              <c:numCache>
                <c:formatCode>General</c:formatCode>
                <c:ptCount val="12"/>
                <c:pt idx="0">
                  <c:v>72</c:v>
                </c:pt>
                <c:pt idx="1">
                  <c:v>5</c:v>
                </c:pt>
                <c:pt idx="2">
                  <c:v>14</c:v>
                </c:pt>
                <c:pt idx="3">
                  <c:v>257</c:v>
                </c:pt>
                <c:pt idx="4">
                  <c:v>1</c:v>
                </c:pt>
                <c:pt idx="5">
                  <c:v>22</c:v>
                </c:pt>
                <c:pt idx="6">
                  <c:v>13</c:v>
                </c:pt>
                <c:pt idx="7">
                  <c:v>39</c:v>
                </c:pt>
                <c:pt idx="8">
                  <c:v>20</c:v>
                </c:pt>
                <c:pt idx="9">
                  <c:v>19</c:v>
                </c:pt>
                <c:pt idx="10">
                  <c:v>2</c:v>
                </c:pt>
                <c:pt idx="11">
                  <c:v>95</c:v>
                </c:pt>
              </c:numCache>
            </c:numRef>
          </c:val>
          <c:extLst>
            <c:ext xmlns:c16="http://schemas.microsoft.com/office/drawing/2014/chart" uri="{C3380CC4-5D6E-409C-BE32-E72D297353CC}">
              <c16:uniqueId val="{00000000-8C22-4496-814E-8DA22D44F39B}"/>
            </c:ext>
          </c:extLst>
        </c:ser>
        <c:dLbls>
          <c:dLblPos val="outEnd"/>
          <c:showLegendKey val="0"/>
          <c:showVal val="1"/>
          <c:showCatName val="0"/>
          <c:showSerName val="0"/>
          <c:showPercent val="0"/>
          <c:showBubbleSize val="0"/>
        </c:dLbls>
        <c:gapWidth val="182"/>
        <c:overlap val="-50"/>
        <c:axId val="1712430303"/>
        <c:axId val="1712428383"/>
      </c:barChart>
      <c:catAx>
        <c:axId val="171243030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428383"/>
        <c:crosses val="autoZero"/>
        <c:auto val="1"/>
        <c:lblAlgn val="ctr"/>
        <c:lblOffset val="100"/>
        <c:noMultiLvlLbl val="0"/>
      </c:catAx>
      <c:valAx>
        <c:axId val="171242838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43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Bowls By A Country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54-4542-A5FE-36F2883FC010}"/>
              </c:ext>
            </c:extLst>
          </c:dPt>
          <c:dPt>
            <c:idx val="1"/>
            <c:bubble3D val="0"/>
            <c:explosion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64C-4E1B-A497-35DA5A237A49}"/>
              </c:ext>
            </c:extLst>
          </c:dPt>
          <c:dPt>
            <c:idx val="2"/>
            <c:bubble3D val="0"/>
            <c:explosion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4C-4E1B-A497-35DA5A237A49}"/>
              </c:ext>
            </c:extLst>
          </c:dPt>
          <c:dPt>
            <c:idx val="3"/>
            <c:bubble3D val="0"/>
            <c:explosion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64C-4E1B-A497-35DA5A237A4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954-4542-A5FE-36F2883FC01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954-4542-A5FE-36F2883FC01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954-4542-A5FE-36F2883FC01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954-4542-A5FE-36F2883FC01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954-4542-A5FE-36F2883FC01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954-4542-A5FE-36F2883FC010}"/>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954-4542-A5FE-36F2883FC010}"/>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954-4542-A5FE-36F2883FC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Sheet2!$B$2:$B$14</c:f>
              <c:numCache>
                <c:formatCode>General</c:formatCode>
                <c:ptCount val="12"/>
                <c:pt idx="0">
                  <c:v>18578</c:v>
                </c:pt>
                <c:pt idx="1">
                  <c:v>1961</c:v>
                </c:pt>
                <c:pt idx="2">
                  <c:v>1483</c:v>
                </c:pt>
                <c:pt idx="3">
                  <c:v>104798</c:v>
                </c:pt>
                <c:pt idx="4">
                  <c:v>83</c:v>
                </c:pt>
                <c:pt idx="5">
                  <c:v>5645</c:v>
                </c:pt>
                <c:pt idx="6">
                  <c:v>1624</c:v>
                </c:pt>
                <c:pt idx="7">
                  <c:v>13627</c:v>
                </c:pt>
                <c:pt idx="8">
                  <c:v>8186</c:v>
                </c:pt>
                <c:pt idx="9">
                  <c:v>11164</c:v>
                </c:pt>
                <c:pt idx="10">
                  <c:v>18</c:v>
                </c:pt>
                <c:pt idx="11">
                  <c:v>11911</c:v>
                </c:pt>
              </c:numCache>
            </c:numRef>
          </c:val>
          <c:extLst>
            <c:ext xmlns:c16="http://schemas.microsoft.com/office/drawing/2014/chart" uri="{C3380CC4-5D6E-409C-BE32-E72D297353CC}">
              <c16:uniqueId val="{00000000-D64C-4E1B-A497-35DA5A237A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Balls Played</c:v>
                </c:pt>
              </c:strCache>
            </c:strRef>
          </c:tx>
          <c:spPr>
            <a:solidFill>
              <a:schemeClr val="accent1"/>
            </a:solidFill>
            <a:ln>
              <a:noFill/>
            </a:ln>
            <a:effectLst/>
          </c:spPr>
          <c:invertIfNegative val="0"/>
          <c:cat>
            <c:strRef>
              <c:f>Sheet3!$A$2:$A$14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Sheet3!$B$2:$B$14</c:f>
              <c:numCache>
                <c:formatCode>General</c:formatCode>
                <c:ptCount val="12"/>
                <c:pt idx="0">
                  <c:v>24615</c:v>
                </c:pt>
                <c:pt idx="1">
                  <c:v>605</c:v>
                </c:pt>
                <c:pt idx="2">
                  <c:v>3298</c:v>
                </c:pt>
                <c:pt idx="3">
                  <c:v>98752</c:v>
                </c:pt>
                <c:pt idx="4">
                  <c:v>234</c:v>
                </c:pt>
                <c:pt idx="5">
                  <c:v>6278</c:v>
                </c:pt>
                <c:pt idx="6">
                  <c:v>871</c:v>
                </c:pt>
                <c:pt idx="7">
                  <c:v>16305</c:v>
                </c:pt>
                <c:pt idx="8">
                  <c:v>5610</c:v>
                </c:pt>
                <c:pt idx="9">
                  <c:v>10638</c:v>
                </c:pt>
                <c:pt idx="10">
                  <c:v>26</c:v>
                </c:pt>
                <c:pt idx="11">
                  <c:v>5961</c:v>
                </c:pt>
              </c:numCache>
            </c:numRef>
          </c:val>
          <c:extLst>
            <c:ext xmlns:c16="http://schemas.microsoft.com/office/drawing/2014/chart" uri="{C3380CC4-5D6E-409C-BE32-E72D297353CC}">
              <c16:uniqueId val="{00000003-4B65-49DC-8720-AABB88AAA986}"/>
            </c:ext>
          </c:extLst>
        </c:ser>
        <c:ser>
          <c:idx val="1"/>
          <c:order val="1"/>
          <c:tx>
            <c:strRef>
              <c:f>Sheet3!$C$1</c:f>
              <c:strCache>
                <c:ptCount val="1"/>
                <c:pt idx="0">
                  <c:v>Sum of Runs Scored</c:v>
                </c:pt>
              </c:strCache>
            </c:strRef>
          </c:tx>
          <c:spPr>
            <a:solidFill>
              <a:schemeClr val="accent2"/>
            </a:solidFill>
            <a:ln>
              <a:noFill/>
            </a:ln>
            <a:effectLst/>
          </c:spPr>
          <c:invertIfNegative val="0"/>
          <c:cat>
            <c:strRef>
              <c:f>Sheet3!$A$2:$A$14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Sheet3!$C$2:$C$14</c:f>
              <c:numCache>
                <c:formatCode>General</c:formatCode>
                <c:ptCount val="12"/>
                <c:pt idx="0">
                  <c:v>32437</c:v>
                </c:pt>
                <c:pt idx="1">
                  <c:v>755</c:v>
                </c:pt>
                <c:pt idx="2">
                  <c:v>4398</c:v>
                </c:pt>
                <c:pt idx="3">
                  <c:v>123842</c:v>
                </c:pt>
                <c:pt idx="4">
                  <c:v>326</c:v>
                </c:pt>
                <c:pt idx="5">
                  <c:v>8005</c:v>
                </c:pt>
                <c:pt idx="6">
                  <c:v>1107</c:v>
                </c:pt>
                <c:pt idx="7">
                  <c:v>21079</c:v>
                </c:pt>
                <c:pt idx="8">
                  <c:v>6893</c:v>
                </c:pt>
                <c:pt idx="9">
                  <c:v>15423</c:v>
                </c:pt>
                <c:pt idx="10">
                  <c:v>31</c:v>
                </c:pt>
                <c:pt idx="11">
                  <c:v>7907</c:v>
                </c:pt>
              </c:numCache>
            </c:numRef>
          </c:val>
          <c:extLst>
            <c:ext xmlns:c16="http://schemas.microsoft.com/office/drawing/2014/chart" uri="{C3380CC4-5D6E-409C-BE32-E72D297353CC}">
              <c16:uniqueId val="{00000004-4B65-49DC-8720-AABB88AAA986}"/>
            </c:ext>
          </c:extLst>
        </c:ser>
        <c:dLbls>
          <c:showLegendKey val="0"/>
          <c:showVal val="0"/>
          <c:showCatName val="0"/>
          <c:showSerName val="0"/>
          <c:showPercent val="0"/>
          <c:showBubbleSize val="0"/>
        </c:dLbls>
        <c:gapWidth val="219"/>
        <c:overlap val="-27"/>
        <c:axId val="1321942671"/>
        <c:axId val="1321943151"/>
      </c:barChart>
      <c:catAx>
        <c:axId val="132194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943151"/>
        <c:crosses val="autoZero"/>
        <c:auto val="1"/>
        <c:lblAlgn val="ctr"/>
        <c:lblOffset val="100"/>
        <c:noMultiLvlLbl val="0"/>
      </c:catAx>
      <c:valAx>
        <c:axId val="132194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9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Analysis.xlsx]Sheet4!PivotTable4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Sheet4!$B$1</c:f>
              <c:strCache>
                <c:ptCount val="1"/>
                <c:pt idx="0">
                  <c:v>Sum of Strike Rate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CC4-4A62-B9EF-AED87B818B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CC4-4A62-B9EF-AED87B818B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CC4-4A62-B9EF-AED87B818B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CC4-4A62-B9EF-AED87B818B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CC4-4A62-B9EF-AED87B818B3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CC4-4A62-B9EF-AED87B818B3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CC4-4A62-B9EF-AED87B818B3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CC4-4A62-B9EF-AED87B818B3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CC4-4A62-B9EF-AED87B818B3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CC4-4A62-B9EF-AED87B818B3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CC4-4A62-B9EF-AED87B818B3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CC4-4A62-B9EF-AED87B818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Sheet4!$B$2:$B$14</c:f>
              <c:numCache>
                <c:formatCode>General</c:formatCode>
                <c:ptCount val="12"/>
                <c:pt idx="0">
                  <c:v>7231.8297435309987</c:v>
                </c:pt>
                <c:pt idx="1">
                  <c:v>280.88435374099998</c:v>
                </c:pt>
                <c:pt idx="2">
                  <c:v>1673.9241771159998</c:v>
                </c:pt>
                <c:pt idx="3">
                  <c:v>24415.838225921994</c:v>
                </c:pt>
                <c:pt idx="4">
                  <c:v>139.31623931600001</c:v>
                </c:pt>
                <c:pt idx="5">
                  <c:v>2463.1606771650004</c:v>
                </c:pt>
                <c:pt idx="6">
                  <c:v>1389.1699680429999</c:v>
                </c:pt>
                <c:pt idx="7">
                  <c:v>4133.7048605809996</c:v>
                </c:pt>
                <c:pt idx="8">
                  <c:v>2192.3808229760002</c:v>
                </c:pt>
                <c:pt idx="9">
                  <c:v>2256.0252040699997</c:v>
                </c:pt>
                <c:pt idx="10">
                  <c:v>119.230769231</c:v>
                </c:pt>
                <c:pt idx="11">
                  <c:v>8108.1910672649983</c:v>
                </c:pt>
              </c:numCache>
            </c:numRef>
          </c:val>
          <c:extLst>
            <c:ext xmlns:c16="http://schemas.microsoft.com/office/drawing/2014/chart" uri="{C3380CC4-5D6E-409C-BE32-E72D297353CC}">
              <c16:uniqueId val="{00000000-3169-4DA5-977A-3B58A78FAFCF}"/>
            </c:ext>
          </c:extLst>
        </c:ser>
        <c:ser>
          <c:idx val="1"/>
          <c:order val="1"/>
          <c:tx>
            <c:strRef>
              <c:f>Sheet4!$C$1</c:f>
              <c:strCache>
                <c:ptCount val="1"/>
                <c:pt idx="0">
                  <c:v>Sum of Batting Average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CC4-4A62-B9EF-AED87B818B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CC4-4A62-B9EF-AED87B818B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CC4-4A62-B9EF-AED87B818B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CC4-4A62-B9EF-AED87B818B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CC4-4A62-B9EF-AED87B818B3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CC4-4A62-B9EF-AED87B818B3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CC4-4A62-B9EF-AED87B818B3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CC4-4A62-B9EF-AED87B818B3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CC4-4A62-B9EF-AED87B818B3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FCC4-4A62-B9EF-AED87B818B3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FCC4-4A62-B9EF-AED87B818B3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FCC4-4A62-B9EF-AED87B818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Sheet4!$C$2:$C$14</c:f>
              <c:numCache>
                <c:formatCode>General</c:formatCode>
                <c:ptCount val="12"/>
                <c:pt idx="0">
                  <c:v>1240.4139953150004</c:v>
                </c:pt>
                <c:pt idx="1">
                  <c:v>25.058823529000001</c:v>
                </c:pt>
                <c:pt idx="2">
                  <c:v>320.76070139000001</c:v>
                </c:pt>
                <c:pt idx="3">
                  <c:v>3503.2374812589992</c:v>
                </c:pt>
                <c:pt idx="4">
                  <c:v>19.176470588000001</c:v>
                </c:pt>
                <c:pt idx="5">
                  <c:v>353.09625308799997</c:v>
                </c:pt>
                <c:pt idx="6">
                  <c:v>156.11748120300001</c:v>
                </c:pt>
                <c:pt idx="7">
                  <c:v>736.3163623260001</c:v>
                </c:pt>
                <c:pt idx="8">
                  <c:v>245.06358581700002</c:v>
                </c:pt>
                <c:pt idx="9">
                  <c:v>341.61061135599999</c:v>
                </c:pt>
                <c:pt idx="10">
                  <c:v>10.333333333000001</c:v>
                </c:pt>
                <c:pt idx="11">
                  <c:v>931.96078042500005</c:v>
                </c:pt>
              </c:numCache>
            </c:numRef>
          </c:val>
          <c:extLst>
            <c:ext xmlns:c16="http://schemas.microsoft.com/office/drawing/2014/chart" uri="{C3380CC4-5D6E-409C-BE32-E72D297353CC}">
              <c16:uniqueId val="{00000004-3169-4DA5-977A-3B58A78FAF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Analysis.xlsx]Sheet3!PivotTable3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Balls Played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Sheet3!$B$2:$B$14</c:f>
              <c:numCache>
                <c:formatCode>General</c:formatCode>
                <c:ptCount val="12"/>
                <c:pt idx="0">
                  <c:v>24615</c:v>
                </c:pt>
                <c:pt idx="1">
                  <c:v>605</c:v>
                </c:pt>
                <c:pt idx="2">
                  <c:v>3298</c:v>
                </c:pt>
                <c:pt idx="3">
                  <c:v>98752</c:v>
                </c:pt>
                <c:pt idx="4">
                  <c:v>234</c:v>
                </c:pt>
                <c:pt idx="5">
                  <c:v>6278</c:v>
                </c:pt>
                <c:pt idx="6">
                  <c:v>871</c:v>
                </c:pt>
                <c:pt idx="7">
                  <c:v>16305</c:v>
                </c:pt>
                <c:pt idx="8">
                  <c:v>5610</c:v>
                </c:pt>
                <c:pt idx="9">
                  <c:v>10638</c:v>
                </c:pt>
                <c:pt idx="10">
                  <c:v>26</c:v>
                </c:pt>
                <c:pt idx="11">
                  <c:v>5961</c:v>
                </c:pt>
              </c:numCache>
            </c:numRef>
          </c:val>
          <c:extLst>
            <c:ext xmlns:c16="http://schemas.microsoft.com/office/drawing/2014/chart" uri="{C3380CC4-5D6E-409C-BE32-E72D297353CC}">
              <c16:uniqueId val="{00000000-2309-4A71-A78B-757E3FA6300E}"/>
            </c:ext>
          </c:extLst>
        </c:ser>
        <c:ser>
          <c:idx val="1"/>
          <c:order val="1"/>
          <c:tx>
            <c:strRef>
              <c:f>Sheet3!$C$1</c:f>
              <c:strCache>
                <c:ptCount val="1"/>
                <c:pt idx="0">
                  <c:v>Sum of Runs Scored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Sheet3!$C$2:$C$14</c:f>
              <c:numCache>
                <c:formatCode>General</c:formatCode>
                <c:ptCount val="12"/>
                <c:pt idx="0">
                  <c:v>32437</c:v>
                </c:pt>
                <c:pt idx="1">
                  <c:v>755</c:v>
                </c:pt>
                <c:pt idx="2">
                  <c:v>4398</c:v>
                </c:pt>
                <c:pt idx="3">
                  <c:v>123842</c:v>
                </c:pt>
                <c:pt idx="4">
                  <c:v>326</c:v>
                </c:pt>
                <c:pt idx="5">
                  <c:v>8005</c:v>
                </c:pt>
                <c:pt idx="6">
                  <c:v>1107</c:v>
                </c:pt>
                <c:pt idx="7">
                  <c:v>21079</c:v>
                </c:pt>
                <c:pt idx="8">
                  <c:v>6893</c:v>
                </c:pt>
                <c:pt idx="9">
                  <c:v>15423</c:v>
                </c:pt>
                <c:pt idx="10">
                  <c:v>31</c:v>
                </c:pt>
                <c:pt idx="11">
                  <c:v>7907</c:v>
                </c:pt>
              </c:numCache>
            </c:numRef>
          </c:val>
          <c:extLst>
            <c:ext xmlns:c16="http://schemas.microsoft.com/office/drawing/2014/chart" uri="{C3380CC4-5D6E-409C-BE32-E72D297353CC}">
              <c16:uniqueId val="{00000001-2309-4A71-A78B-757E3FA6300E}"/>
            </c:ext>
          </c:extLst>
        </c:ser>
        <c:dLbls>
          <c:dLblPos val="outEnd"/>
          <c:showLegendKey val="0"/>
          <c:showVal val="1"/>
          <c:showCatName val="0"/>
          <c:showSerName val="0"/>
          <c:showPercent val="0"/>
          <c:showBubbleSize val="0"/>
        </c:dLbls>
        <c:gapWidth val="315"/>
        <c:overlap val="-40"/>
        <c:axId val="1321942671"/>
        <c:axId val="1321943151"/>
      </c:barChart>
      <c:catAx>
        <c:axId val="1321942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1943151"/>
        <c:crosses val="autoZero"/>
        <c:auto val="1"/>
        <c:lblAlgn val="ctr"/>
        <c:lblOffset val="100"/>
        <c:noMultiLvlLbl val="0"/>
      </c:catAx>
      <c:valAx>
        <c:axId val="13219431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19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Analysis.xlsx]Sheet4!PivotTable4</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Sheet4!$B$1</c:f>
              <c:strCache>
                <c:ptCount val="1"/>
                <c:pt idx="0">
                  <c:v>Sum of Strike Rate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CA-44C2-B90F-9E298A393C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CA-44C2-B90F-9E298A393C7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CA-44C2-B90F-9E298A393C7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6CA-44C2-B90F-9E298A393C7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6CA-44C2-B90F-9E298A393C7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6CA-44C2-B90F-9E298A393C7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6CA-44C2-B90F-9E298A393C7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6CA-44C2-B90F-9E298A393C7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6CA-44C2-B90F-9E298A393C7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6CA-44C2-B90F-9E298A393C7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6CA-44C2-B90F-9E298A393C7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6CA-44C2-B90F-9E298A393C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Sheet4!$B$2:$B$14</c:f>
              <c:numCache>
                <c:formatCode>General</c:formatCode>
                <c:ptCount val="12"/>
                <c:pt idx="0">
                  <c:v>7231.8297435309987</c:v>
                </c:pt>
                <c:pt idx="1">
                  <c:v>280.88435374099998</c:v>
                </c:pt>
                <c:pt idx="2">
                  <c:v>1673.9241771159998</c:v>
                </c:pt>
                <c:pt idx="3">
                  <c:v>24415.838225921994</c:v>
                </c:pt>
                <c:pt idx="4">
                  <c:v>139.31623931600001</c:v>
                </c:pt>
                <c:pt idx="5">
                  <c:v>2463.1606771650004</c:v>
                </c:pt>
                <c:pt idx="6">
                  <c:v>1389.1699680429999</c:v>
                </c:pt>
                <c:pt idx="7">
                  <c:v>4133.7048605809996</c:v>
                </c:pt>
                <c:pt idx="8">
                  <c:v>2192.3808229760002</c:v>
                </c:pt>
                <c:pt idx="9">
                  <c:v>2256.0252040699997</c:v>
                </c:pt>
                <c:pt idx="10">
                  <c:v>119.230769231</c:v>
                </c:pt>
                <c:pt idx="11">
                  <c:v>8108.1910672649983</c:v>
                </c:pt>
              </c:numCache>
            </c:numRef>
          </c:val>
          <c:extLst>
            <c:ext xmlns:c16="http://schemas.microsoft.com/office/drawing/2014/chart" uri="{C3380CC4-5D6E-409C-BE32-E72D297353CC}">
              <c16:uniqueId val="{00000018-16CA-44C2-B90F-9E298A393C7A}"/>
            </c:ext>
          </c:extLst>
        </c:ser>
        <c:ser>
          <c:idx val="1"/>
          <c:order val="1"/>
          <c:tx>
            <c:strRef>
              <c:f>Sheet4!$C$1</c:f>
              <c:strCache>
                <c:ptCount val="1"/>
                <c:pt idx="0">
                  <c:v>Sum of Batting Average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16CA-44C2-B90F-9E298A393C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16CA-44C2-B90F-9E298A393C7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16CA-44C2-B90F-9E298A393C7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16CA-44C2-B90F-9E298A393C7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16CA-44C2-B90F-9E298A393C7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16CA-44C2-B90F-9E298A393C7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16CA-44C2-B90F-9E298A393C7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16CA-44C2-B90F-9E298A393C7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16CA-44C2-B90F-9E298A393C7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6CA-44C2-B90F-9E298A393C7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16CA-44C2-B90F-9E298A393C7A}"/>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16CA-44C2-B90F-9E298A393C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Sheet4!$C$2:$C$14</c:f>
              <c:numCache>
                <c:formatCode>General</c:formatCode>
                <c:ptCount val="12"/>
                <c:pt idx="0">
                  <c:v>1240.4139953150004</c:v>
                </c:pt>
                <c:pt idx="1">
                  <c:v>25.058823529000001</c:v>
                </c:pt>
                <c:pt idx="2">
                  <c:v>320.76070139000001</c:v>
                </c:pt>
                <c:pt idx="3">
                  <c:v>3503.2374812589992</c:v>
                </c:pt>
                <c:pt idx="4">
                  <c:v>19.176470588000001</c:v>
                </c:pt>
                <c:pt idx="5">
                  <c:v>353.09625308799997</c:v>
                </c:pt>
                <c:pt idx="6">
                  <c:v>156.11748120300001</c:v>
                </c:pt>
                <c:pt idx="7">
                  <c:v>736.3163623260001</c:v>
                </c:pt>
                <c:pt idx="8">
                  <c:v>245.06358581700002</c:v>
                </c:pt>
                <c:pt idx="9">
                  <c:v>341.61061135599999</c:v>
                </c:pt>
                <c:pt idx="10">
                  <c:v>10.333333333000001</c:v>
                </c:pt>
                <c:pt idx="11">
                  <c:v>931.96078042500005</c:v>
                </c:pt>
              </c:numCache>
            </c:numRef>
          </c:val>
          <c:extLst>
            <c:ext xmlns:c16="http://schemas.microsoft.com/office/drawing/2014/chart" uri="{C3380CC4-5D6E-409C-BE32-E72D297353CC}">
              <c16:uniqueId val="{00000031-16CA-44C2-B90F-9E298A393C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Analysis.xlsx]Sheet1!PivotTable1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Number</a:t>
            </a:r>
            <a:r>
              <a:rPr lang="en-US" baseline="0"/>
              <a:t> Of Plays from a country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Sheet1!$B$2:$B$14</c:f>
              <c:numCache>
                <c:formatCode>General</c:formatCode>
                <c:ptCount val="12"/>
                <c:pt idx="0">
                  <c:v>72</c:v>
                </c:pt>
                <c:pt idx="1">
                  <c:v>5</c:v>
                </c:pt>
                <c:pt idx="2">
                  <c:v>14</c:v>
                </c:pt>
                <c:pt idx="3">
                  <c:v>257</c:v>
                </c:pt>
                <c:pt idx="4">
                  <c:v>1</c:v>
                </c:pt>
                <c:pt idx="5">
                  <c:v>22</c:v>
                </c:pt>
                <c:pt idx="6">
                  <c:v>13</c:v>
                </c:pt>
                <c:pt idx="7">
                  <c:v>39</c:v>
                </c:pt>
                <c:pt idx="8">
                  <c:v>20</c:v>
                </c:pt>
                <c:pt idx="9">
                  <c:v>19</c:v>
                </c:pt>
                <c:pt idx="10">
                  <c:v>2</c:v>
                </c:pt>
                <c:pt idx="11">
                  <c:v>95</c:v>
                </c:pt>
              </c:numCache>
            </c:numRef>
          </c:val>
          <c:extLst>
            <c:ext xmlns:c16="http://schemas.microsoft.com/office/drawing/2014/chart" uri="{C3380CC4-5D6E-409C-BE32-E72D297353CC}">
              <c16:uniqueId val="{00000000-F2E6-4819-A3C7-AFFFAB8E0C01}"/>
            </c:ext>
          </c:extLst>
        </c:ser>
        <c:dLbls>
          <c:dLblPos val="outEnd"/>
          <c:showLegendKey val="0"/>
          <c:showVal val="1"/>
          <c:showCatName val="0"/>
          <c:showSerName val="0"/>
          <c:showPercent val="0"/>
          <c:showBubbleSize val="0"/>
        </c:dLbls>
        <c:gapWidth val="182"/>
        <c:overlap val="-50"/>
        <c:axId val="1712430303"/>
        <c:axId val="1712428383"/>
      </c:barChart>
      <c:catAx>
        <c:axId val="171243030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428383"/>
        <c:crosses val="autoZero"/>
        <c:auto val="1"/>
        <c:lblAlgn val="ctr"/>
        <c:lblOffset val="100"/>
        <c:noMultiLvlLbl val="0"/>
      </c:catAx>
      <c:valAx>
        <c:axId val="171242838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43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Cricket Data Analysis.xlsx]Sheet2!PivotTable2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Bowls By A Country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3A-4845-9D6B-31EA6A94CCC3}"/>
              </c:ext>
            </c:extLst>
          </c:dPt>
          <c:dPt>
            <c:idx val="1"/>
            <c:bubble3D val="0"/>
            <c:explosion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3A-4845-9D6B-31EA6A94CCC3}"/>
              </c:ext>
            </c:extLst>
          </c:dPt>
          <c:dPt>
            <c:idx val="2"/>
            <c:bubble3D val="0"/>
            <c:explosion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3A-4845-9D6B-31EA6A94CCC3}"/>
              </c:ext>
            </c:extLst>
          </c:dPt>
          <c:dPt>
            <c:idx val="3"/>
            <c:bubble3D val="0"/>
            <c:explosion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3A-4845-9D6B-31EA6A94CCC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63A-4845-9D6B-31EA6A94CCC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63A-4845-9D6B-31EA6A94CCC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63A-4845-9D6B-31EA6A94CCC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63A-4845-9D6B-31EA6A94CCC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63A-4845-9D6B-31EA6A94CCC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63A-4845-9D6B-31EA6A94CCC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63A-4845-9D6B-31EA6A94CCC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63A-4845-9D6B-31EA6A94C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Sheet2!$A$2:$A$14</c:f>
              <c:strCache>
                <c:ptCount val="12"/>
                <c:pt idx="0">
                  <c:v>Australia</c:v>
                </c:pt>
                <c:pt idx="1">
                  <c:v>Bangladesh</c:v>
                </c:pt>
                <c:pt idx="2">
                  <c:v>England</c:v>
                </c:pt>
                <c:pt idx="3">
                  <c:v>India</c:v>
                </c:pt>
                <c:pt idx="4">
                  <c:v>Netherlands</c:v>
                </c:pt>
                <c:pt idx="5">
                  <c:v>New Zealand</c:v>
                </c:pt>
                <c:pt idx="6">
                  <c:v>Pakistan</c:v>
                </c:pt>
                <c:pt idx="7">
                  <c:v>South Africa</c:v>
                </c:pt>
                <c:pt idx="8">
                  <c:v>Sri Lanka</c:v>
                </c:pt>
                <c:pt idx="9">
                  <c:v>West Indies</c:v>
                </c:pt>
                <c:pt idx="10">
                  <c:v>Zimbabwea</c:v>
                </c:pt>
                <c:pt idx="11">
                  <c:v>(blank)</c:v>
                </c:pt>
              </c:strCache>
            </c:strRef>
          </c:cat>
          <c:val>
            <c:numRef>
              <c:f>Sheet2!$B$2:$B$14</c:f>
              <c:numCache>
                <c:formatCode>General</c:formatCode>
                <c:ptCount val="12"/>
                <c:pt idx="0">
                  <c:v>18578</c:v>
                </c:pt>
                <c:pt idx="1">
                  <c:v>1961</c:v>
                </c:pt>
                <c:pt idx="2">
                  <c:v>1483</c:v>
                </c:pt>
                <c:pt idx="3">
                  <c:v>104798</c:v>
                </c:pt>
                <c:pt idx="4">
                  <c:v>83</c:v>
                </c:pt>
                <c:pt idx="5">
                  <c:v>5645</c:v>
                </c:pt>
                <c:pt idx="6">
                  <c:v>1624</c:v>
                </c:pt>
                <c:pt idx="7">
                  <c:v>13627</c:v>
                </c:pt>
                <c:pt idx="8">
                  <c:v>8186</c:v>
                </c:pt>
                <c:pt idx="9">
                  <c:v>11164</c:v>
                </c:pt>
                <c:pt idx="10">
                  <c:v>18</c:v>
                </c:pt>
                <c:pt idx="11">
                  <c:v>11911</c:v>
                </c:pt>
              </c:numCache>
            </c:numRef>
          </c:val>
          <c:extLst>
            <c:ext xmlns:c16="http://schemas.microsoft.com/office/drawing/2014/chart" uri="{C3380CC4-5D6E-409C-BE32-E72D297353CC}">
              <c16:uniqueId val="{00000018-863A-4845-9D6B-31EA6A94CC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A349EA5-8E39-F5B6-2662-1BF09D3AD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518160</xdr:colOff>
      <xdr:row>2</xdr:row>
      <xdr:rowOff>45720</xdr:rowOff>
    </xdr:from>
    <xdr:to>
      <xdr:col>14</xdr:col>
      <xdr:colOff>518160</xdr:colOff>
      <xdr:row>16</xdr:row>
      <xdr:rowOff>66675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80A0E035-2424-454B-54B7-A9C00AF1C09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153400" y="411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3C703AB-D803-ACDF-3D96-A899D2443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472440</xdr:colOff>
      <xdr:row>2</xdr:row>
      <xdr:rowOff>68580</xdr:rowOff>
    </xdr:from>
    <xdr:to>
      <xdr:col>14</xdr:col>
      <xdr:colOff>472440</xdr:colOff>
      <xdr:row>16</xdr:row>
      <xdr:rowOff>89535</xdr:rowOff>
    </xdr:to>
    <mc:AlternateContent xmlns:mc="http://schemas.openxmlformats.org/markup-compatibility/2006" xmlns:a14="http://schemas.microsoft.com/office/drawing/2010/main">
      <mc:Choice Requires="a14">
        <xdr:graphicFrame macro="">
          <xdr:nvGraphicFramePr>
            <xdr:cNvPr id="3" name="Player Name">
              <a:extLst>
                <a:ext uri="{FF2B5EF4-FFF2-40B4-BE49-F238E27FC236}">
                  <a16:creationId xmlns:a16="http://schemas.microsoft.com/office/drawing/2014/main" id="{CD0F6894-6093-7BF8-1892-6FC95943B973}"/>
                </a:ext>
              </a:extLst>
            </xdr:cNvPr>
            <xdr:cNvGraphicFramePr/>
          </xdr:nvGraphicFramePr>
          <xdr:xfrm>
            <a:off x="0" y="0"/>
            <a:ext cx="0" cy="0"/>
          </xdr:xfrm>
          <a:graphic>
            <a:graphicData uri="http://schemas.microsoft.com/office/drawing/2010/slicer">
              <sle:slicer xmlns:sle="http://schemas.microsoft.com/office/drawing/2010/slicer" name="Player Name"/>
            </a:graphicData>
          </a:graphic>
        </xdr:graphicFrame>
      </mc:Choice>
      <mc:Fallback xmlns="">
        <xdr:sp macro="" textlink="">
          <xdr:nvSpPr>
            <xdr:cNvPr id="0" name=""/>
            <xdr:cNvSpPr>
              <a:spLocks noTextEdit="1"/>
            </xdr:cNvSpPr>
          </xdr:nvSpPr>
          <xdr:spPr>
            <a:xfrm>
              <a:off x="8214360" y="434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8756692-EAAF-4F24-B8A7-F463EE708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09F4D32-EBE8-06C1-D1D0-8EAA38CCA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403860</xdr:colOff>
      <xdr:row>1</xdr:row>
      <xdr:rowOff>121920</xdr:rowOff>
    </xdr:from>
    <xdr:to>
      <xdr:col>14</xdr:col>
      <xdr:colOff>403860</xdr:colOff>
      <xdr:row>15</xdr:row>
      <xdr:rowOff>142875</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D92D5DC9-0786-4403-0D8A-7C7FDBD1AED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618220" y="304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190500</xdr:rowOff>
    </xdr:from>
    <xdr:to>
      <xdr:col>0</xdr:col>
      <xdr:colOff>1828800</xdr:colOff>
      <xdr:row>15</xdr:row>
      <xdr:rowOff>251460</xdr:rowOff>
    </xdr:to>
    <mc:AlternateContent xmlns:mc="http://schemas.openxmlformats.org/markup-compatibility/2006" xmlns:a14="http://schemas.microsoft.com/office/drawing/2010/main">
      <mc:Choice Requires="a14">
        <xdr:graphicFrame macro="">
          <xdr:nvGraphicFramePr>
            <xdr:cNvPr id="3" name="Country 2">
              <a:extLst>
                <a:ext uri="{FF2B5EF4-FFF2-40B4-BE49-F238E27FC236}">
                  <a16:creationId xmlns:a16="http://schemas.microsoft.com/office/drawing/2014/main" id="{43B005CD-AD4B-4E1E-A4B6-9B37DA0EFC0F}"/>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0" y="533400"/>
              <a:ext cx="1828800" cy="454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1828800</xdr:colOff>
      <xdr:row>8</xdr:row>
      <xdr:rowOff>144780</xdr:rowOff>
    </xdr:from>
    <xdr:to>
      <xdr:col>0</xdr:col>
      <xdr:colOff>6667500</xdr:colOff>
      <xdr:row>15</xdr:row>
      <xdr:rowOff>236220</xdr:rowOff>
    </xdr:to>
    <xdr:graphicFrame macro="">
      <xdr:nvGraphicFramePr>
        <xdr:cNvPr id="5" name="Chart 4">
          <a:extLst>
            <a:ext uri="{FF2B5EF4-FFF2-40B4-BE49-F238E27FC236}">
              <a16:creationId xmlns:a16="http://schemas.microsoft.com/office/drawing/2014/main" id="{C507024B-62DF-41BB-913E-1B83DEB55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7559040</xdr:colOff>
      <xdr:row>8</xdr:row>
      <xdr:rowOff>137160</xdr:rowOff>
    </xdr:from>
    <xdr:to>
      <xdr:col>0</xdr:col>
      <xdr:colOff>12146280</xdr:colOff>
      <xdr:row>15</xdr:row>
      <xdr:rowOff>243840</xdr:rowOff>
    </xdr:to>
    <xdr:graphicFrame macro="">
      <xdr:nvGraphicFramePr>
        <xdr:cNvPr id="6" name="Chart 5">
          <a:extLst>
            <a:ext uri="{FF2B5EF4-FFF2-40B4-BE49-F238E27FC236}">
              <a16:creationId xmlns:a16="http://schemas.microsoft.com/office/drawing/2014/main" id="{BE7DA534-313B-45BB-86B5-CB7ADD2CF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12153900</xdr:colOff>
      <xdr:row>1</xdr:row>
      <xdr:rowOff>167640</xdr:rowOff>
    </xdr:from>
    <xdr:to>
      <xdr:col>0</xdr:col>
      <xdr:colOff>13982700</xdr:colOff>
      <xdr:row>15</xdr:row>
      <xdr:rowOff>243840</xdr:rowOff>
    </xdr:to>
    <mc:AlternateContent xmlns:mc="http://schemas.openxmlformats.org/markup-compatibility/2006" xmlns:a14="http://schemas.microsoft.com/office/drawing/2010/main">
      <mc:Choice Requires="a14">
        <xdr:graphicFrame macro="">
          <xdr:nvGraphicFramePr>
            <xdr:cNvPr id="7" name="Player Name 1">
              <a:extLst>
                <a:ext uri="{FF2B5EF4-FFF2-40B4-BE49-F238E27FC236}">
                  <a16:creationId xmlns:a16="http://schemas.microsoft.com/office/drawing/2014/main" id="{B5A1113B-D3DB-4F52-A6A1-5E84FB460860}"/>
                </a:ext>
              </a:extLst>
            </xdr:cNvPr>
            <xdr:cNvGraphicFramePr/>
          </xdr:nvGraphicFramePr>
          <xdr:xfrm>
            <a:off x="0" y="0"/>
            <a:ext cx="0" cy="0"/>
          </xdr:xfrm>
          <a:graphic>
            <a:graphicData uri="http://schemas.microsoft.com/office/drawing/2010/slicer">
              <sle:slicer xmlns:sle="http://schemas.microsoft.com/office/drawing/2010/slicer" name="Player Name 1"/>
            </a:graphicData>
          </a:graphic>
        </xdr:graphicFrame>
      </mc:Choice>
      <mc:Fallback xmlns="">
        <xdr:sp macro="" textlink="">
          <xdr:nvSpPr>
            <xdr:cNvPr id="0" name=""/>
            <xdr:cNvSpPr>
              <a:spLocks noTextEdit="1"/>
            </xdr:cNvSpPr>
          </xdr:nvSpPr>
          <xdr:spPr>
            <a:xfrm>
              <a:off x="12153900" y="525780"/>
              <a:ext cx="1828800" cy="4478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1828800</xdr:colOff>
      <xdr:row>1</xdr:row>
      <xdr:rowOff>198120</xdr:rowOff>
    </xdr:from>
    <xdr:to>
      <xdr:col>0</xdr:col>
      <xdr:colOff>6667500</xdr:colOff>
      <xdr:row>8</xdr:row>
      <xdr:rowOff>106680</xdr:rowOff>
    </xdr:to>
    <xdr:graphicFrame macro="">
      <xdr:nvGraphicFramePr>
        <xdr:cNvPr id="8" name="Chart 7">
          <a:extLst>
            <a:ext uri="{FF2B5EF4-FFF2-40B4-BE49-F238E27FC236}">
              <a16:creationId xmlns:a16="http://schemas.microsoft.com/office/drawing/2014/main" id="{FB899D55-35F6-4908-8DDA-DBF22C8DE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7551420</xdr:colOff>
      <xdr:row>1</xdr:row>
      <xdr:rowOff>160020</xdr:rowOff>
    </xdr:from>
    <xdr:to>
      <xdr:col>0</xdr:col>
      <xdr:colOff>12146280</xdr:colOff>
      <xdr:row>8</xdr:row>
      <xdr:rowOff>99060</xdr:rowOff>
    </xdr:to>
    <xdr:graphicFrame macro="">
      <xdr:nvGraphicFramePr>
        <xdr:cNvPr id="9" name="Chart 8">
          <a:extLst>
            <a:ext uri="{FF2B5EF4-FFF2-40B4-BE49-F238E27FC236}">
              <a16:creationId xmlns:a16="http://schemas.microsoft.com/office/drawing/2014/main" id="{9026437E-BFA6-4141-B48C-47BB3FA5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4.59558854167" createdVersion="8" refreshedVersion="8" minRefreshableVersion="3" recordCount="560" xr:uid="{66CB9876-DC5D-4232-AD8A-FA232AED8389}">
  <cacheSource type="worksheet">
    <worksheetSource ref="A1:K1048576" sheet="Dataset"/>
  </cacheSource>
  <cacheFields count="11">
    <cacheField name="Player ID" numFmtId="0">
      <sharedItems containsString="0" containsBlank="1" containsNumber="1" containsInteger="1" minValue="1" maxValue="566"/>
    </cacheField>
    <cacheField name="Player Name" numFmtId="0">
      <sharedItems containsBlank="1" count="560">
        <s v="A Ashish Reddy"/>
        <s v="A Chandila"/>
        <s v="A Chopra"/>
        <s v="A Choudhary"/>
        <s v="A Dananjaya"/>
        <s v="A Flintoff"/>
        <s v="A Hales"/>
        <s v="A Joseph"/>
        <s v="A Kumble"/>
        <s v="A Mishra"/>
        <s v="A Mithun"/>
        <s v="A Mukund"/>
        <s v="A Nehra"/>
        <s v="A Nel"/>
        <s v="A Roy"/>
        <s v="A Singh"/>
        <s v="A Symonds"/>
        <s v="A Turner"/>
        <s v="A Uniyal"/>
        <s v="A Zampa"/>
        <s v="AA Bilakhia"/>
        <s v="AA Chavan"/>
        <s v="AA Jhunjhunwala"/>
        <s v="AA Kazi"/>
        <s v="AA Noffke"/>
        <s v="AB Agarkar"/>
        <s v="AB Barath"/>
        <s v="AB de Villiers"/>
        <s v="AB Dinda"/>
        <s v="AB McDonald"/>
        <s v="Abdur Razzak"/>
        <s v="AC Blizzard"/>
        <s v="AC Gilchrist"/>
        <s v="AC Thomas"/>
        <s v="AC Voges"/>
        <s v="AD Mascarenhas"/>
        <s v="AD Mathews"/>
        <s v="AD Nath"/>
        <s v="AD Russell"/>
        <s v="AF Milne"/>
        <s v="AG Murtaza"/>
        <s v="AG Paunikar"/>
        <s v="AJ Finch"/>
        <s v="AJ Tye"/>
        <s v="AL Menaria"/>
        <s v="AM Nayar"/>
        <s v="AM Rahane"/>
        <s v="AM Salvi"/>
        <s v="AN Ahmed"/>
        <s v="AN Ghosh"/>
        <s v="Anand Rajan"/>
        <s v="Anirudh Singh"/>
        <s v="Ankit Sharma"/>
        <s v="Ankit Soni"/>
        <s v="Anureet Singh"/>
        <s v="AP Dole"/>
        <s v="AP Majumdar"/>
        <s v="AP Tare"/>
        <s v="AR Bawne"/>
        <s v="AR Patel"/>
        <s v="AS Rajpoot"/>
        <s v="AS Raut"/>
        <s v="AS Yadav"/>
        <s v="AT Rayudu"/>
        <s v="AUK Pathan"/>
        <s v="Avesh Khan"/>
        <s v="Azhar Mahmood"/>
        <s v="B Akhil"/>
        <s v="B Chipli"/>
        <s v="B Geeves"/>
        <s v="B Kumar"/>
        <s v="B Laughlin"/>
        <s v="B Lee"/>
        <s v="B Stanlake"/>
        <s v="B Sumanth"/>
        <s v="BA Bhatt"/>
        <s v="BA Stokes"/>
        <s v="Basil Thampi"/>
        <s v="BAW Mendis"/>
        <s v="BB McCullum"/>
        <s v="BB Samantray"/>
        <s v="BB Sran"/>
        <s v="BCJ Cutting"/>
        <s v="BE Hendricks"/>
        <s v="Bipul Sharma"/>
        <s v="BJ Haddin"/>
        <s v="BJ Hodge"/>
        <s v="BJ Rohrer"/>
        <s v="BMAJ Mendis"/>
        <s v="BR Dunk"/>
        <s v="BW Hilfenhaus"/>
        <s v="C de Grandhomme"/>
        <s v="C Ganapathy"/>
        <s v="C Ingram"/>
        <s v="C Madan"/>
        <s v="C Munro"/>
        <s v="C Nanda"/>
        <s v="CA Ingram"/>
        <s v="CA Lynn"/>
        <s v="CA Pujara"/>
        <s v="CH Gayle"/>
        <s v="CH Morris"/>
        <s v="CJ Anderson"/>
        <s v="CJ Ferguson"/>
        <s v="CJ Jordan"/>
        <s v="CJ McKay"/>
        <s v="CK Kapugedera"/>
        <s v="CK Langeveldt"/>
        <s v="CL White"/>
        <s v="CM Gautam"/>
        <s v="CR Brathwaite"/>
        <s v="CR Woakes"/>
        <s v="CRD Fernando"/>
        <s v="D du Preez"/>
        <s v="D Kalyankrishna"/>
        <s v="D Salunkhe"/>
        <s v="D Shorey"/>
        <s v="D Short"/>
        <s v="D Wiese"/>
        <s v="D Willey"/>
        <s v="DA Miller"/>
        <s v="DA Warner"/>
        <s v="DAJ Bracewell"/>
        <s v="DB Das"/>
        <s v="DB Ravi Teja"/>
        <s v="DE Bollinger"/>
        <s v="DH Yagnik"/>
        <s v="DJ Bravo"/>
        <s v="DJ Harris"/>
        <s v="DJ Hooda"/>
        <s v="DJ Hussey"/>
        <s v="DJ Jacobs"/>
        <s v="DJ Muthuswami"/>
        <s v="DJ Thornely"/>
        <s v="DJG Sammy"/>
        <s v="DL Chahar"/>
        <s v="DL Vettori"/>
        <s v="DM Bravo"/>
        <s v="DNT Zoysa"/>
        <s v="DP Nannes"/>
        <s v="DP Vijaykumar"/>
        <s v="DPMD Jayawardene"/>
        <s v="DR Martyn"/>
        <s v="DR Smith"/>
        <s v="DS Kulkarni"/>
        <s v="DS Lehmann"/>
        <s v="DT Christian"/>
        <s v="DT Patil"/>
        <s v="DW Steyn"/>
        <s v="E Lewis"/>
        <s v="EJG Morgan"/>
        <s v="ER Dwivedi"/>
        <s v="F Behardien"/>
        <s v="F du Plessis"/>
        <s v="FH Edwards"/>
        <s v="FY Fazal"/>
        <s v="G Gambhir"/>
        <s v="Gagandeep Singh"/>
        <s v="GB Hogg"/>
        <s v="GC Smith"/>
        <s v="GD McGrath"/>
        <s v="GH Vihari"/>
        <s v="GJ Bailey"/>
        <s v="GJ Maxwell"/>
        <s v="GR Napier"/>
        <s v="GS Sandhu"/>
        <s v="Gurkeerat Singh"/>
        <s v="H Brar"/>
        <s v="H Das"/>
        <s v="H Gurney"/>
        <s v="H Klaasen"/>
        <s v="H Vihari"/>
        <s v="H Viljoen"/>
        <s v="Harbhajan Singh"/>
        <s v="Harmeet Singh"/>
        <s v="Harmeet Singh (2)"/>
        <s v="Harpreet Singh"/>
        <s v="HH Gibbs"/>
        <s v="HH Pandya"/>
        <s v="HM Amla"/>
        <s v="HV Patel"/>
        <s v="I Malhotra"/>
        <s v="I Sharma"/>
        <s v="I Sodhi"/>
        <s v="IC Pandey"/>
        <s v="IK Pathan"/>
        <s v="Imran Tahir"/>
        <s v="Iqbal Abdulla"/>
        <s v="IR Jaggi"/>
        <s v="Ishan Kishan"/>
        <s v="J Archer"/>
        <s v="J Arunkumar"/>
        <s v="J Bairstow"/>
        <s v="J Behrendorff"/>
        <s v="J Botha"/>
        <s v="J Dala"/>
        <s v="J Denly"/>
        <s v="J Searles"/>
        <s v="J Suchith"/>
        <s v="J Syed Mohammad"/>
        <s v="J Theron"/>
        <s v="J Yadav"/>
        <s v="JA Morkel"/>
        <s v="Jaskaran Singh"/>
        <s v="JC Buttler"/>
        <s v="JD Ryder"/>
        <s v="JD Unadkat"/>
        <s v="JDP Oram"/>
        <s v="JDS Neesham"/>
        <s v="JE Taylor"/>
        <s v="JEC Franklin"/>
        <s v="JH Kallis"/>
        <s v="JJ Bumrah"/>
        <s v="JJ Roy"/>
        <s v="JJ van der Wath"/>
        <s v="JM Kemp"/>
        <s v="JO Holder"/>
        <s v="Joginder Sharma"/>
        <s v="JP Duminy"/>
        <s v="JP Faulkner"/>
        <s v="JR Hopes"/>
        <s v="JW Hastings"/>
        <s v="K Ahmed"/>
        <s v="K Goel"/>
        <s v="K Gowtham"/>
        <s v="K Khejroliya"/>
        <s v="K Paul"/>
        <s v="K Rabada"/>
        <s v="K Santokie"/>
        <s v="K Upadhyay"/>
        <s v="KA Pollard"/>
        <s v="KAJ Roach"/>
        <s v="Kamran Akmal"/>
        <s v="Kamran Khan"/>
        <s v="Karanveer Singh"/>
        <s v="KB Arun Karthik"/>
        <s v="KC Cariappa"/>
        <s v="KC Sangakkara"/>
        <s v="KD Karthik"/>
        <s v="KH Pandya"/>
        <s v="KJ Abbott"/>
        <s v="KK Cooper"/>
        <s v="KK Nair"/>
        <s v="KL Rahul"/>
        <s v="KM Asif"/>
        <s v="KM Jadhav"/>
        <s v="KMDN Kulasekara"/>
        <s v="KP Appanna"/>
        <s v="KP Pietersen"/>
        <s v="KS Williamson"/>
        <s v="Kuldeep Yadav"/>
        <s v="KV Sharma"/>
        <s v="KW Richardson"/>
        <s v="L Ablish"/>
        <s v="L Balaji"/>
        <s v="L Ferguson"/>
        <s v="L Livingstone"/>
        <s v="L Ngidi"/>
        <s v="L Plunkett"/>
        <s v="L Ronchi"/>
        <s v="LA Carseldine"/>
        <s v="LA Pomersbach"/>
        <s v="LH Ferguson"/>
        <s v="LJ Wright"/>
        <s v="LMP Simmons"/>
        <s v="LPC Silva"/>
        <s v="LR Shukla"/>
        <s v="LRPL Taylor"/>
        <s v="M Ali"/>
        <s v="M Ashwin"/>
        <s v="M de Lange"/>
        <s v="M Kaif"/>
        <s v="M Kartik"/>
        <s v="M Klinger"/>
        <s v="M Lomror"/>
        <s v="M Manhas"/>
        <s v="M Markande"/>
        <s v="M Morkel"/>
        <s v="M Muralitharan"/>
        <s v="M Ntini"/>
        <s v="M Rawat"/>
        <s v="M Santner"/>
        <s v="M Ur Rahman"/>
        <s v="M Vijay"/>
        <s v="M Vohra"/>
        <s v="M Wood"/>
        <s v="MA Agarwal"/>
        <s v="MA Khote"/>
        <s v="MA Starc"/>
        <s v="Mandeep Singh"/>
        <s v="Mashrafe Mortaza"/>
        <s v="MB Parmar"/>
        <s v="MC Henriques"/>
        <s v="MC Juneja"/>
        <s v="MD Mishra"/>
        <s v="MDKJ Perera"/>
        <s v="MEK Hussey"/>
        <s v="MF Maharoof"/>
        <s v="MG Johnson"/>
        <s v="MG Neser"/>
        <s v="Misbah-ul-Haq"/>
        <s v="MJ Clarke"/>
        <s v="MJ Guptill"/>
        <s v="MJ Henry"/>
        <s v="MJ Lumb"/>
        <s v="MJ McClenaghan"/>
        <s v="MK Pandey"/>
        <s v="MK Tiwary"/>
        <s v="ML Hayden"/>
        <s v="MM Patel"/>
        <s v="MM Sharma"/>
        <s v="MN Samuels"/>
        <s v="MN van Wyk"/>
        <s v="Mohammad Ashraful"/>
        <s v="Mohammad Asif"/>
        <s v="Mohammad Hafeez"/>
        <s v="Mohammad Nabi"/>
        <s v="Mohammed Shami"/>
        <s v="Mohammed Siraj"/>
        <s v="MP Stoinis"/>
        <s v="MR Marsh"/>
        <s v="MS Bisla"/>
        <s v="MS Dhoni"/>
        <s v="MS Gony"/>
        <s v="MS Wade"/>
        <s v="Mustafizur Rahman"/>
        <s v="MV Boucher"/>
        <s v="N Naik"/>
        <s v="N Pooran"/>
        <s v="N Rana"/>
        <s v="N Saini"/>
        <s v="NB Singh"/>
        <s v="ND Doshi"/>
        <s v="Niraj Patel"/>
        <s v="NJ Maddinson"/>
        <s v="NJ Rimmington"/>
        <s v="NL McCullum"/>
        <s v="NLTC Perera"/>
        <s v="NM Coulter-Nile"/>
        <s v="NS Naik"/>
        <s v="NV Ojha"/>
        <s v="O Thomas"/>
        <s v="OA Shah"/>
        <s v="P Amarnath"/>
        <s v="P Awana"/>
        <s v="P Chopra"/>
        <s v="P Dogra"/>
        <s v="P Krishna"/>
        <s v="P Kumar"/>
        <s v="P Negi"/>
        <s v="P Parameswaran"/>
        <s v="P Prasanth"/>
        <s v="P R Barman"/>
        <s v="P Raj"/>
        <s v="P Sahu"/>
        <s v="P Shaw"/>
        <s v="P Suyal"/>
        <s v="PA Patel"/>
        <s v="PA Reddy"/>
        <s v="Pankaj Singh"/>
        <s v="Parvez Rasool"/>
        <s v="PC Valthaty"/>
        <s v="PD Collingwood"/>
        <s v="PJ Cummins"/>
        <s v="PJ Sangwan"/>
        <s v="PM Sarvesh Kumar"/>
        <s v="PP Chawla"/>
        <s v="PP Ojha"/>
        <s v="PR Shah"/>
        <s v="PSP Handscomb"/>
        <s v="PV Tambe"/>
        <s v="Q de Kock"/>
        <s v="R Ashwin"/>
        <s v="R Bhatia"/>
        <s v="R Bhui"/>
        <s v="R Bishnoi"/>
        <s v="R Dhawan"/>
        <s v="R Dravid"/>
        <s v="R McLaren"/>
        <s v="R Ninan"/>
        <s v="R Parag"/>
        <s v="R Rampaul"/>
        <s v="R Salam"/>
        <s v="R Sathish"/>
        <s v="R Sharma"/>
        <s v="R Shukla"/>
        <s v="R Singh"/>
        <s v="R Tewatia"/>
        <s v="R Vinay Kumar"/>
        <s v="RA Jadeja"/>
        <s v="RA Shaikh"/>
        <s v="RA Tripathi"/>
        <s v="Rashid Khan"/>
        <s v="RD Chahar"/>
        <s v="RE Levi"/>
        <s v="RE van der Merwe"/>
        <s v="RG More"/>
        <s v="RG Sharma"/>
        <s v="RJ Harris"/>
        <s v="RJ Peterson"/>
        <s v="RJ Quiney"/>
        <s v="RN ten Doeschate"/>
        <s v="RP Singh"/>
        <s v="RR Bhatkal"/>
        <s v="RR Bose"/>
        <s v="RR Pant"/>
        <s v="RR Powar"/>
        <s v="RR Raje"/>
        <s v="RR Rossouw"/>
        <s v="RR Sarwan"/>
        <s v="RS Bopara"/>
        <s v="RS Gavaskar"/>
        <s v="RS Sodhi"/>
        <s v="RT Ponting"/>
        <s v="RV Gomez"/>
        <s v="RV Uthappa"/>
        <s v="RW Price"/>
        <s v="S Anirudha"/>
        <s v="S Aravind"/>
        <s v="S Badree"/>
        <s v="S Badrinath"/>
        <s v="S Chanderpaul"/>
        <s v="S Curran"/>
        <s v="S Dhawan"/>
        <s v="S Dube"/>
        <s v="S Gill"/>
        <s v="S Gopal"/>
        <s v="S Hetmyer"/>
        <s v="S Kaul"/>
        <s v="S Kaushik"/>
        <s v="S Kuggeleijn"/>
        <s v="S Ladda"/>
        <s v="S Lamichhane"/>
        <s v="S Mavi"/>
        <s v="S Midhun"/>
        <s v="S Nadeem"/>
        <s v="S Narwal"/>
        <s v="S Rana"/>
        <s v="S Randiv"/>
        <s v="S Rutherford"/>
        <s v="S Sharma"/>
        <s v="S Singh"/>
        <s v="S Sohal"/>
        <s v="S Sreesanth"/>
        <s v="S Sriram"/>
        <s v="S Tyagi"/>
        <s v="S Vidyut"/>
        <s v="S Warrier"/>
        <s v="SA Abbott"/>
        <s v="SA Asnodkar"/>
        <s v="SA Yadav"/>
        <s v="Sachin Baby"/>
        <s v="Salman Butt"/>
        <s v="Sandeep Sharma"/>
        <s v="SB Bangar"/>
        <s v="SB Jakati"/>
        <s v="SB Joshi"/>
        <s v="SB Styris"/>
        <s v="SB Wagh"/>
        <s v="SC Ganguly"/>
        <s v="SD Chitnis"/>
        <s v="SD Lad"/>
        <s v="SE Bond"/>
        <s v="SE Marsh"/>
        <s v="Shahid Afridi"/>
        <s v="Shakib Al Hasan"/>
        <s v="Shivam Sharma"/>
        <s v="Shoaib Ahmed"/>
        <s v="Shoaib Akhtar"/>
        <s v="Shoaib Malik"/>
        <s v="SJ Srivastava"/>
        <s v="SK Raina"/>
        <s v="SK Trivedi"/>
        <s v="SK Warne"/>
        <s v="SL Malinga"/>
        <s v="SM Boland"/>
        <s v="SM Harwood"/>
        <s v="SM Katich"/>
        <s v="SM Pollock"/>
        <s v="SMSM Senanayake"/>
        <s v="SN Khan"/>
        <s v="SN Thakur"/>
        <s v="Sohail Tanvir"/>
        <s v="SP Fleming"/>
        <s v="SP Goswami"/>
        <s v="SP Jackson"/>
        <s v="SP Narine"/>
        <s v="SPD Smith"/>
        <s v="SR Tendulkar"/>
        <s v="SR Watson"/>
        <s v="SS Agarwal"/>
        <s v="SS Iyer"/>
        <s v="SS Mundhe"/>
        <s v="SS Sarkar"/>
        <s v="SS Shaikh"/>
        <s v="SS Tiwary"/>
        <s v="ST Jayasuriya"/>
        <s v="STR Binny"/>
        <s v="Sunny Gupta"/>
        <s v="Sunny Singh"/>
        <s v="SV Samson"/>
        <s v="SW Billings"/>
        <s v="SW Tait"/>
        <s v="Swapnil Singh"/>
        <s v="T Curran"/>
        <s v="T Henderson"/>
        <s v="T Kohli"/>
        <s v="T Natarajan"/>
        <s v="T Shamsi"/>
        <s v="T Taibu"/>
        <s v="T Thushara"/>
        <s v="TA Boult"/>
        <s v="TD Paine"/>
        <s v="Tejas Baroka"/>
        <s v="TG Southee"/>
        <s v="TL Suman"/>
        <s v="TM Dilshan"/>
        <s v="TM Head"/>
        <s v="TM Srivastava"/>
        <s v="TP Sudhindra"/>
        <s v="TR Birt"/>
        <s v="TS Mills"/>
        <s v="U Kaul"/>
        <s v="UA Birla"/>
        <s v="UBT Chand"/>
        <s v="Umar Gul"/>
        <s v="UT Khawaja"/>
        <s v="UT Yadav"/>
        <s v="V Chakravarthy"/>
        <s v="V Kohli"/>
        <s v="V Pratap Singh"/>
        <s v="V Sehwag"/>
        <s v="V Shankar"/>
        <s v="VH Zol"/>
        <s v="Vishnu Vinod"/>
        <s v="VR Aaron"/>
        <s v="VRV Singh"/>
        <s v="VS Malik"/>
        <s v="VS Yeligati"/>
        <s v="VVS Laxman"/>
        <s v="VY Mahesh"/>
        <s v="W Jaffer"/>
        <s v="WA Mota"/>
        <s v="Washington Sundar"/>
        <s v="WD Parnell"/>
        <s v="WP Saha"/>
        <s v="WPUJC Vaas"/>
        <s v="X Thalaivan Sargunam"/>
        <s v="Y Gnaneswara Rao"/>
        <s v="Y Nagar"/>
        <s v="Y Venugopal Rao"/>
        <s v="YA Abdulla"/>
        <s v="Yashpal Singh"/>
        <s v="YK Pathan"/>
        <s v="Younis Khan"/>
        <s v="YS Chahal"/>
        <s v="Yuvraj Singh"/>
        <s v="YV Takawale"/>
        <s v="Z Khan"/>
        <m/>
      </sharedItems>
    </cacheField>
    <cacheField name="DOB" numFmtId="14">
      <sharedItems containsNonDate="0" containsDate="1" containsString="0" containsBlank="1" minDate="1969-06-30T00:00:00" maxDate="1998-07-19T00:00:00"/>
    </cacheField>
    <cacheField name="Country" numFmtId="0">
      <sharedItems containsBlank="1" count="12">
        <s v="India"/>
        <m/>
        <s v="England"/>
        <s v="South Africa"/>
        <s v="Australia"/>
        <s v="Bangladesh"/>
        <s v="Sri Lanka"/>
        <s v="West Indies"/>
        <s v="New Zealand"/>
        <s v="Pakistan"/>
        <s v="Netherlands"/>
        <s v="Zimbabwea"/>
      </sharedItems>
    </cacheField>
    <cacheField name="Balls Played" numFmtId="1">
      <sharedItems containsString="0" containsBlank="1" containsNumber="1" containsInteger="1" minValue="1" maxValue="4111"/>
    </cacheField>
    <cacheField name="Runs Scored" numFmtId="1">
      <sharedItems containsString="0" containsBlank="1" containsNumber="1" containsInteger="1" minValue="0" maxValue="5426" count="284">
        <n v="280"/>
        <n v="4"/>
        <n v="53"/>
        <n v="25"/>
        <n v="62"/>
        <n v="150"/>
        <n v="15"/>
        <n v="35"/>
        <n v="366"/>
        <n v="34"/>
        <n v="19"/>
        <n v="41"/>
        <m/>
        <n v="2"/>
        <n v="974"/>
        <n v="3"/>
        <n v="5"/>
        <n v="69"/>
        <n v="12"/>
        <n v="217"/>
        <n v="9"/>
        <n v="179"/>
        <n v="42"/>
        <n v="4414"/>
        <n v="26"/>
        <n v="123"/>
        <n v="0"/>
        <n v="120"/>
        <n v="2069"/>
        <n v="20"/>
        <n v="181"/>
        <n v="79"/>
        <n v="724"/>
        <n v="90"/>
        <n v="1415"/>
        <n v="7"/>
        <n v="10"/>
        <n v="49"/>
        <n v="1741"/>
        <n v="92"/>
        <n v="401"/>
        <n v="672"/>
        <n v="3834"/>
        <n v="36"/>
        <n v="63"/>
        <n v="160"/>
        <n v="37"/>
        <n v="87"/>
        <n v="339"/>
        <n v="800"/>
        <n v="17"/>
        <n v="194"/>
        <n v="995"/>
        <n v="3313"/>
        <n v="39"/>
        <n v="388"/>
        <n v="76"/>
        <n v="184"/>
        <n v="124"/>
        <n v="6"/>
        <n v="641"/>
        <n v="32"/>
        <n v="2886"/>
        <n v="125"/>
        <n v="11"/>
        <n v="239"/>
        <n v="1"/>
        <n v="187"/>
        <n v="18"/>
        <n v="1400"/>
        <n v="193"/>
        <n v="23"/>
        <n v="40"/>
        <n v="304"/>
        <n v="178"/>
        <n v="21"/>
        <n v="1288"/>
        <n v="390"/>
        <n v="4525"/>
        <n v="519"/>
        <n v="538"/>
        <n v="98"/>
        <n v="8"/>
        <n v="16"/>
        <n v="971"/>
        <n v="169"/>
        <n v="182"/>
        <n v="33"/>
        <n v="13"/>
        <n v="116"/>
        <n v="127"/>
        <n v="1858"/>
        <n v="4717"/>
        <n v="375"/>
        <n v="170"/>
        <n v="1494"/>
        <n v="111"/>
        <n v="526"/>
        <n v="1322"/>
        <n v="295"/>
        <n v="71"/>
        <n v="121"/>
        <n v="1808"/>
        <n v="2385"/>
        <n v="101"/>
        <n v="448"/>
        <n v="166"/>
        <n v="437"/>
        <n v="854"/>
        <n v="24"/>
        <n v="14"/>
        <n v="1861"/>
        <n v="183"/>
        <n v="4219"/>
        <n v="22"/>
        <n v="739"/>
        <n v="663"/>
        <n v="1401"/>
        <n v="443"/>
        <n v="67"/>
        <n v="831"/>
        <n v="886"/>
        <n v="1082"/>
        <n v="577"/>
        <n v="107"/>
        <n v="55"/>
        <n v="1150"/>
        <n v="88"/>
        <n v="701"/>
        <n v="84"/>
        <n v="459"/>
        <n v="409"/>
        <n v="54"/>
        <n v="29"/>
        <n v="975"/>
        <n v="1396"/>
        <n v="604"/>
        <n v="106"/>
        <n v="327"/>
        <n v="2427"/>
        <n v="38"/>
        <n v="2031"/>
        <n v="527"/>
        <n v="417"/>
        <n v="218"/>
        <n v="145"/>
        <n v="70"/>
        <n v="2772"/>
        <n v="128"/>
        <n v="51"/>
        <n v="1687"/>
        <n v="3669"/>
        <n v="897"/>
        <n v="1465"/>
        <n v="1988"/>
        <n v="1087"/>
        <n v="1001"/>
        <n v="1309"/>
        <n v="45"/>
        <n v="317"/>
        <n v="81"/>
        <n v="302"/>
        <n v="1079"/>
        <n v="405"/>
        <n v="1017"/>
        <n v="259"/>
        <n v="113"/>
        <n v="73"/>
        <n v="28"/>
        <n v="514"/>
        <n v="30"/>
        <n v="126"/>
        <n v="2589"/>
        <n v="1013"/>
        <n v="1269"/>
        <n v="96"/>
        <n v="1535"/>
        <n v="969"/>
        <n v="237"/>
        <n v="1977"/>
        <n v="177"/>
        <n v="168"/>
        <n v="117"/>
        <n v="271"/>
        <n v="278"/>
        <n v="2855"/>
        <n v="1696"/>
        <n v="1107"/>
        <n v="161"/>
        <n v="167"/>
        <n v="64"/>
        <n v="142"/>
        <n v="476"/>
        <n v="225"/>
        <n v="798"/>
        <n v="4450"/>
        <n v="99"/>
        <n v="394"/>
        <n v="1093"/>
        <n v="424"/>
        <n v="52"/>
        <n v="1555"/>
        <n v="506"/>
        <n v="340"/>
        <n v="365"/>
        <n v="2864"/>
        <n v="164"/>
        <n v="505"/>
        <n v="203"/>
        <n v="77"/>
        <n v="584"/>
        <n v="1478"/>
        <n v="376"/>
        <n v="342"/>
        <n v="153"/>
        <n v="2174"/>
        <n v="159"/>
        <n v="270"/>
        <n v="66"/>
        <n v="115"/>
        <n v="310"/>
        <n v="1931"/>
        <n v="761"/>
        <n v="105"/>
        <n v="83"/>
        <n v="4902"/>
        <n v="103"/>
        <n v="326"/>
        <n v="1767"/>
        <n v="531"/>
        <n v="91"/>
        <n v="50"/>
        <n v="4420"/>
        <n v="136"/>
        <n v="59"/>
        <n v="1441"/>
        <n v="95"/>
        <n v="4601"/>
        <n v="510"/>
        <n v="129"/>
        <n v="368"/>
        <n v="31"/>
        <n v="423"/>
        <n v="608"/>
        <n v="137"/>
        <n v="131"/>
        <n v="1349"/>
        <n v="2489"/>
        <n v="750"/>
        <n v="5386"/>
        <n v="198"/>
        <n v="241"/>
        <n v="147"/>
        <n v="412"/>
        <n v="196"/>
        <n v="785"/>
        <n v="2038"/>
        <n v="2334"/>
        <n v="3590"/>
        <n v="1695"/>
        <n v="1276"/>
        <n v="768"/>
        <n v="880"/>
        <n v="43"/>
        <n v="2215"/>
        <n v="337"/>
        <n v="676"/>
        <n v="1153"/>
        <n v="205"/>
        <n v="75"/>
        <n v="300"/>
        <n v="122"/>
        <n v="5426"/>
        <n v="2728"/>
        <n v="563"/>
        <n v="282"/>
        <n v="130"/>
        <n v="56"/>
        <n v="285"/>
        <n v="985"/>
        <n v="47"/>
        <n v="3222"/>
        <n v="2755"/>
        <n v="192"/>
      </sharedItems>
    </cacheField>
    <cacheField name="Batting Average" numFmtId="2">
      <sharedItems containsString="0" containsBlank="1" containsNumber="1" minValue="0" maxValue="88"/>
    </cacheField>
    <cacheField name="Strike Rate" numFmtId="2">
      <sharedItems containsString="0" containsBlank="1" containsNumber="1" minValue="0" maxValue="250"/>
    </cacheField>
    <cacheField name="Bowls Delivered" numFmtId="1">
      <sharedItems containsString="0" containsBlank="1" containsNumber="1" containsInteger="1" minValue="1" maxValue="3451"/>
    </cacheField>
    <cacheField name="Total Runs" numFmtId="1">
      <sharedItems containsString="0" containsBlank="1" containsNumber="1" containsInteger="1" minValue="0" maxValue="4153"/>
    </cacheField>
    <cacheField name="Economy" numFmtId="2">
      <sharedItems containsBlank="1" containsMixedTypes="1" containsNumber="1" minValue="4.3199999999999994" maxValue="23"/>
    </cacheField>
  </cacheFields>
  <extLst>
    <ext xmlns:x14="http://schemas.microsoft.com/office/spreadsheetml/2009/9/main" uri="{725AE2AE-9491-48be-B2B4-4EB974FC3084}">
      <x14:pivotCacheDefinition pivotCacheId="964218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
  <r>
    <n v="1"/>
    <x v="0"/>
    <d v="1991-02-24T00:00:00"/>
    <x v="0"/>
    <n v="191"/>
    <x v="0"/>
    <n v="18.666666667000001"/>
    <n v="146.596858639"/>
    <n v="270"/>
    <n v="400"/>
    <n v="8.8888888888888893"/>
  </r>
  <r>
    <n v="2"/>
    <x v="1"/>
    <d v="1983-12-05T00:00:00"/>
    <x v="0"/>
    <n v="7"/>
    <x v="1"/>
    <n v="4"/>
    <n v="57.142857143000001"/>
    <n v="234"/>
    <n v="245"/>
    <n v="6.2820512820512819"/>
  </r>
  <r>
    <n v="3"/>
    <x v="2"/>
    <d v="1977-09-19T00:00:00"/>
    <x v="0"/>
    <n v="71"/>
    <x v="2"/>
    <n v="10.6"/>
    <n v="74.647887323999996"/>
    <m/>
    <m/>
    <s v=""/>
  </r>
  <r>
    <n v="4"/>
    <x v="3"/>
    <m/>
    <x v="1"/>
    <n v="20"/>
    <x v="3"/>
    <n v="12.5"/>
    <n v="125"/>
    <n v="108"/>
    <n v="144"/>
    <n v="8"/>
  </r>
  <r>
    <n v="5"/>
    <x v="4"/>
    <m/>
    <x v="1"/>
    <n v="5"/>
    <x v="1"/>
    <m/>
    <n v="80"/>
    <n v="25"/>
    <n v="48"/>
    <n v="11.52"/>
  </r>
  <r>
    <n v="6"/>
    <x v="5"/>
    <d v="1977-12-06T00:00:00"/>
    <x v="2"/>
    <n v="53"/>
    <x v="4"/>
    <n v="31"/>
    <n v="116.981132075"/>
    <n v="66"/>
    <n v="106"/>
    <n v="9.6363636363636367"/>
  </r>
  <r>
    <n v="7"/>
    <x v="6"/>
    <m/>
    <x v="1"/>
    <n v="118"/>
    <x v="5"/>
    <n v="25"/>
    <n v="127.11864406799999"/>
    <m/>
    <m/>
    <s v=""/>
  </r>
  <r>
    <n v="8"/>
    <x v="7"/>
    <m/>
    <x v="1"/>
    <n v="13"/>
    <x v="6"/>
    <m/>
    <n v="115.384615385"/>
    <n v="55"/>
    <n v="94"/>
    <n v="10.254545454545456"/>
  </r>
  <r>
    <n v="9"/>
    <x v="8"/>
    <d v="1970-10-17T00:00:00"/>
    <x v="0"/>
    <n v="46"/>
    <x v="7"/>
    <n v="17.5"/>
    <n v="76.086956521999994"/>
    <n v="983"/>
    <n v="1089"/>
    <n v="6.6469989827060019"/>
  </r>
  <r>
    <n v="10"/>
    <x v="9"/>
    <d v="1982-11-24T00:00:00"/>
    <x v="0"/>
    <n v="385"/>
    <x v="8"/>
    <n v="12.620689655"/>
    <n v="95.064935065"/>
    <n v="3172"/>
    <n v="3850"/>
    <n v="7.2824716267339227"/>
  </r>
  <r>
    <n v="11"/>
    <x v="10"/>
    <d v="1989-10-25T00:00:00"/>
    <x v="0"/>
    <n v="25"/>
    <x v="9"/>
    <n v="6.8"/>
    <n v="136"/>
    <n v="312"/>
    <n v="477"/>
    <n v="9.1730769230769234"/>
  </r>
  <r>
    <n v="12"/>
    <x v="11"/>
    <d v="1990-01-06T00:00:00"/>
    <x v="0"/>
    <n v="22"/>
    <x v="10"/>
    <n v="9.5"/>
    <n v="86.363636364000001"/>
    <m/>
    <m/>
    <s v=""/>
  </r>
  <r>
    <n v="13"/>
    <x v="12"/>
    <d v="1979-04-29T00:00:00"/>
    <x v="0"/>
    <n v="59"/>
    <x v="11"/>
    <n v="5.125"/>
    <n v="69.491525424000002"/>
    <n v="1974"/>
    <n v="2537"/>
    <n v="7.7112462006079028"/>
  </r>
  <r>
    <n v="14"/>
    <x v="13"/>
    <d v="1977-07-15T00:00:00"/>
    <x v="3"/>
    <m/>
    <x v="12"/>
    <m/>
    <m/>
    <n v="18"/>
    <n v="31"/>
    <n v="10.333333333333334"/>
  </r>
  <r>
    <n v="15"/>
    <x v="14"/>
    <m/>
    <x v="1"/>
    <m/>
    <x v="12"/>
    <m/>
    <m/>
    <n v="15"/>
    <n v="14"/>
    <n v="5.6"/>
  </r>
  <r>
    <n v="16"/>
    <x v="15"/>
    <d v="1981-06-21T00:00:00"/>
    <x v="0"/>
    <n v="10"/>
    <x v="13"/>
    <n v="0.5"/>
    <n v="20"/>
    <n v="551"/>
    <n v="769"/>
    <n v="8.373865698729583"/>
  </r>
  <r>
    <n v="17"/>
    <x v="16"/>
    <d v="1975-06-09T00:00:00"/>
    <x v="4"/>
    <n v="748"/>
    <x v="14"/>
    <n v="37.461538462"/>
    <n v="130.213903743"/>
    <n v="540"/>
    <n v="694"/>
    <n v="7.7111111111111112"/>
  </r>
  <r>
    <n v="18"/>
    <x v="17"/>
    <m/>
    <x v="1"/>
    <n v="10"/>
    <x v="15"/>
    <n v="1"/>
    <n v="30"/>
    <m/>
    <m/>
    <s v=""/>
  </r>
  <r>
    <n v="19"/>
    <x v="18"/>
    <d v="1981-11-21T00:00:00"/>
    <x v="0"/>
    <n v="7"/>
    <x v="1"/>
    <n v="4"/>
    <n v="57.142857143000001"/>
    <n v="38"/>
    <n v="67"/>
    <n v="10.578947368421053"/>
  </r>
  <r>
    <n v="20"/>
    <x v="19"/>
    <d v="1992-03-31T00:00:00"/>
    <x v="4"/>
    <n v="8"/>
    <x v="16"/>
    <n v="2.5"/>
    <n v="62.5"/>
    <n v="225"/>
    <n v="281"/>
    <n v="7.4933333333333332"/>
  </r>
  <r>
    <n v="21"/>
    <x v="20"/>
    <d v="1986-05-31T00:00:00"/>
    <x v="0"/>
    <n v="85"/>
    <x v="17"/>
    <n v="13.8"/>
    <n v="81.176470588000001"/>
    <m/>
    <m/>
    <s v=""/>
  </r>
  <r>
    <n v="22"/>
    <x v="21"/>
    <d v="1985-10-28T00:00:00"/>
    <x v="0"/>
    <n v="11"/>
    <x v="18"/>
    <n v="12"/>
    <n v="109.090909091"/>
    <n v="255"/>
    <n v="339"/>
    <n v="7.9764705882352942"/>
  </r>
  <r>
    <n v="23"/>
    <x v="22"/>
    <d v="1982-12-01T00:00:00"/>
    <x v="0"/>
    <n v="210"/>
    <x v="19"/>
    <n v="15.5"/>
    <n v="103.333333333"/>
    <n v="88"/>
    <n v="130"/>
    <n v="8.8636363636363633"/>
  </r>
  <r>
    <n v="24"/>
    <x v="23"/>
    <d v="1989-09-29T00:00:00"/>
    <x v="0"/>
    <m/>
    <x v="12"/>
    <m/>
    <m/>
    <n v="13"/>
    <n v="21"/>
    <n v="9.6923076923076934"/>
  </r>
  <r>
    <n v="25"/>
    <x v="24"/>
    <d v="1977-04-30T00:00:00"/>
    <x v="4"/>
    <n v="10"/>
    <x v="20"/>
    <n v="9"/>
    <n v="90"/>
    <n v="25"/>
    <n v="41"/>
    <n v="9.84"/>
  </r>
  <r>
    <n v="26"/>
    <x v="25"/>
    <d v="1977-12-04T00:00:00"/>
    <x v="0"/>
    <n v="152"/>
    <x v="21"/>
    <n v="22.375"/>
    <n v="117.76315789500001"/>
    <n v="820"/>
    <n v="1174"/>
    <n v="8.5902439024390258"/>
  </r>
  <r>
    <n v="27"/>
    <x v="26"/>
    <d v="1990-04-14T00:00:00"/>
    <x v="0"/>
    <n v="42"/>
    <x v="22"/>
    <n v="21"/>
    <n v="100"/>
    <m/>
    <m/>
    <s v=""/>
  </r>
  <r>
    <n v="28"/>
    <x v="27"/>
    <d v="1984-02-17T00:00:00"/>
    <x v="3"/>
    <n v="2902"/>
    <x v="23"/>
    <n v="42.442307692"/>
    <n v="152.101998622"/>
    <m/>
    <m/>
    <s v=""/>
  </r>
  <r>
    <n v="29"/>
    <x v="28"/>
    <d v="1984-03-25T00:00:00"/>
    <x v="0"/>
    <n v="47"/>
    <x v="24"/>
    <n v="2.888888889"/>
    <n v="55.319148935999998"/>
    <n v="1589"/>
    <n v="2103"/>
    <n v="7.940843297671492"/>
  </r>
  <r>
    <n v="30"/>
    <x v="29"/>
    <d v="1981-06-05T00:00:00"/>
    <x v="4"/>
    <n v="99"/>
    <x v="25"/>
    <n v="24.6"/>
    <n v="124.242424242"/>
    <n v="188"/>
    <n v="263"/>
    <n v="8.3936170212765955"/>
  </r>
  <r>
    <n v="31"/>
    <x v="30"/>
    <d v="1982-06-15T00:00:00"/>
    <x v="5"/>
    <n v="2"/>
    <x v="26"/>
    <m/>
    <n v="0"/>
    <n v="14"/>
    <n v="29"/>
    <n v="12.428571428571427"/>
  </r>
  <r>
    <n v="32"/>
    <x v="31"/>
    <d v="1984-06-27T00:00:00"/>
    <x v="4"/>
    <n v="89"/>
    <x v="27"/>
    <n v="17.142857143000001"/>
    <n v="134.831460674"/>
    <m/>
    <m/>
    <s v=""/>
  </r>
  <r>
    <n v="33"/>
    <x v="32"/>
    <d v="1971-11-14T00:00:00"/>
    <x v="4"/>
    <n v="1492"/>
    <x v="28"/>
    <n v="27.223684210999998"/>
    <n v="138.67292225200001"/>
    <n v="1"/>
    <n v="0"/>
    <s v=""/>
  </r>
  <r>
    <n v="34"/>
    <x v="33"/>
    <d v="1977-02-09T00:00:00"/>
    <x v="2"/>
    <n v="19"/>
    <x v="29"/>
    <n v="10"/>
    <n v="105.26315789500001"/>
    <n v="327"/>
    <n v="416"/>
    <n v="7.6330275229357802"/>
  </r>
  <r>
    <n v="35"/>
    <x v="34"/>
    <d v="1979-10-04T00:00:00"/>
    <x v="4"/>
    <n v="142"/>
    <x v="30"/>
    <n v="30.166666667000001"/>
    <n v="127.464788732"/>
    <n v="56"/>
    <n v="76"/>
    <n v="8.1428571428571423"/>
  </r>
  <r>
    <n v="36"/>
    <x v="35"/>
    <d v="1977-10-30T00:00:00"/>
    <x v="2"/>
    <n v="78"/>
    <x v="31"/>
    <n v="7.9"/>
    <n v="101.282051282"/>
    <n v="310"/>
    <n v="365"/>
    <n v="7.064516129032258"/>
  </r>
  <r>
    <n v="37"/>
    <x v="36"/>
    <d v="1987-06-02T00:00:00"/>
    <x v="6"/>
    <n v="573"/>
    <x v="32"/>
    <n v="23.354838709999999"/>
    <n v="126.35253054099999"/>
    <n v="807"/>
    <n v="1095"/>
    <n v="8.1412639405204459"/>
  </r>
  <r>
    <n v="38"/>
    <x v="37"/>
    <d v="1993-05-10T00:00:00"/>
    <x v="0"/>
    <n v="98"/>
    <x v="33"/>
    <n v="9"/>
    <n v="91.836734694"/>
    <m/>
    <m/>
    <s v=""/>
  </r>
  <r>
    <n v="39"/>
    <x v="38"/>
    <d v="1988-04-29T00:00:00"/>
    <x v="7"/>
    <n v="752"/>
    <x v="34"/>
    <n v="34.512195122000001"/>
    <n v="188.16489361699999"/>
    <n v="1072"/>
    <n v="1584"/>
    <n v="8.8656716417910459"/>
  </r>
  <r>
    <n v="40"/>
    <x v="39"/>
    <d v="1992-04-13T00:00:00"/>
    <x v="8"/>
    <n v="12"/>
    <x v="35"/>
    <n v="2.3333333330000001"/>
    <n v="58.333333332999999"/>
    <n v="115"/>
    <n v="185"/>
    <n v="9.6521739130434785"/>
  </r>
  <r>
    <n v="41"/>
    <x v="40"/>
    <d v="1990-01-01T00:00:00"/>
    <x v="0"/>
    <n v="14"/>
    <x v="36"/>
    <n v="10"/>
    <n v="71.428571429000002"/>
    <n v="269"/>
    <n v="322"/>
    <n v="7.1821561338289959"/>
  </r>
  <r>
    <n v="42"/>
    <x v="41"/>
    <d v="1988-04-18T00:00:00"/>
    <x v="0"/>
    <n v="57"/>
    <x v="37"/>
    <n v="9.8000000000000007"/>
    <n v="85.964912280999997"/>
    <m/>
    <m/>
    <s v=""/>
  </r>
  <r>
    <n v="43"/>
    <x v="42"/>
    <d v="1986-11-17T00:00:00"/>
    <x v="4"/>
    <n v="1332"/>
    <x v="38"/>
    <n v="26.378787879000001"/>
    <n v="130.705705706"/>
    <n v="44"/>
    <n v="67"/>
    <n v="9.1363636363636367"/>
  </r>
  <r>
    <n v="44"/>
    <x v="43"/>
    <m/>
    <x v="1"/>
    <n v="70"/>
    <x v="39"/>
    <n v="13.142857143000001"/>
    <n v="131.42857142899999"/>
    <n v="618"/>
    <n v="871"/>
    <n v="8.4563106796116507"/>
  </r>
  <r>
    <n v="45"/>
    <x v="44"/>
    <d v="1990-10-29T00:00:00"/>
    <x v="0"/>
    <n v="356"/>
    <x v="40"/>
    <n v="18.227272726999999"/>
    <n v="112.640449438"/>
    <n v="113"/>
    <n v="144"/>
    <n v="7.6460176991150446"/>
  </r>
  <r>
    <n v="46"/>
    <x v="45"/>
    <d v="1983-10-08T00:00:00"/>
    <x v="0"/>
    <n v="574"/>
    <x v="41"/>
    <n v="17.230769231"/>
    <n v="117.07317073199999"/>
    <n v="239"/>
    <n v="323"/>
    <n v="8.1087866108786599"/>
  </r>
  <r>
    <n v="47"/>
    <x v="46"/>
    <d v="1988-06-06T00:00:00"/>
    <x v="0"/>
    <n v="3133"/>
    <x v="42"/>
    <n v="32.769230769000004"/>
    <n v="122.374720715"/>
    <n v="6"/>
    <n v="5"/>
    <n v="5"/>
  </r>
  <r>
    <n v="48"/>
    <x v="47"/>
    <d v="1981-10-20T00:00:00"/>
    <x v="0"/>
    <m/>
    <x v="12"/>
    <m/>
    <m/>
    <n v="156"/>
    <n v="205"/>
    <n v="7.884615384615385"/>
  </r>
  <r>
    <n v="49"/>
    <x v="48"/>
    <d v="1988-11-05T00:00:00"/>
    <x v="0"/>
    <n v="26"/>
    <x v="43"/>
    <n v="36"/>
    <n v="138.46153846199999"/>
    <n v="362"/>
    <n v="515"/>
    <n v="8.5359116022099446"/>
  </r>
  <r>
    <n v="50"/>
    <x v="49"/>
    <d v="1986-10-19T00:00:00"/>
    <x v="0"/>
    <n v="8"/>
    <x v="35"/>
    <n v="3.5"/>
    <n v="87.5"/>
    <m/>
    <m/>
    <s v=""/>
  </r>
  <r>
    <n v="51"/>
    <x v="50"/>
    <d v="1987-04-17T00:00:00"/>
    <x v="0"/>
    <m/>
    <x v="12"/>
    <m/>
    <m/>
    <n v="162"/>
    <n v="206"/>
    <n v="7.6296296296296298"/>
  </r>
  <r>
    <n v="52"/>
    <x v="51"/>
    <d v="1980-08-02T00:00:00"/>
    <x v="0"/>
    <n v="66"/>
    <x v="44"/>
    <n v="15.75"/>
    <n v="95.454545455000002"/>
    <m/>
    <m/>
    <s v=""/>
  </r>
  <r>
    <n v="53"/>
    <x v="52"/>
    <d v="1991-04-20T00:00:00"/>
    <x v="0"/>
    <n v="108"/>
    <x v="45"/>
    <n v="16"/>
    <n v="148.14814814799999"/>
    <n v="388"/>
    <n v="475"/>
    <n v="7.3453608247422677"/>
  </r>
  <r>
    <n v="54"/>
    <x v="53"/>
    <m/>
    <x v="1"/>
    <n v="8"/>
    <x v="35"/>
    <n v="3.5"/>
    <n v="87.5"/>
    <n v="112"/>
    <n v="145"/>
    <n v="7.7678571428571423"/>
  </r>
  <r>
    <n v="55"/>
    <x v="54"/>
    <d v="1988-03-02T00:00:00"/>
    <x v="0"/>
    <n v="46"/>
    <x v="46"/>
    <n v="9.25"/>
    <n v="80.434782608999996"/>
    <n v="430"/>
    <n v="636"/>
    <n v="8.8744186046511615"/>
  </r>
  <r>
    <n v="56"/>
    <x v="55"/>
    <d v="1987-10-09T00:00:00"/>
    <x v="0"/>
    <n v="22"/>
    <x v="9"/>
    <n v="17"/>
    <n v="154.54545454500001"/>
    <n v="73"/>
    <n v="114"/>
    <n v="9.3698630136986303"/>
  </r>
  <r>
    <n v="57"/>
    <x v="56"/>
    <d v="1984-04-30T00:00:00"/>
    <x v="0"/>
    <n v="76"/>
    <x v="47"/>
    <n v="21.75"/>
    <n v="114.47368421100001"/>
    <m/>
    <m/>
    <s v=""/>
  </r>
  <r>
    <n v="58"/>
    <x v="57"/>
    <d v="1987-11-07T00:00:00"/>
    <x v="0"/>
    <n v="273"/>
    <x v="48"/>
    <n v="14.125"/>
    <n v="124.17582417600001"/>
    <m/>
    <m/>
    <s v=""/>
  </r>
  <r>
    <n v="59"/>
    <x v="58"/>
    <m/>
    <x v="1"/>
    <n v="12"/>
    <x v="18"/>
    <m/>
    <n v="100"/>
    <m/>
    <m/>
    <s v=""/>
  </r>
  <r>
    <n v="60"/>
    <x v="59"/>
    <d v="1994-01-20T00:00:00"/>
    <x v="0"/>
    <n v="628"/>
    <x v="49"/>
    <n v="18.604651163"/>
    <n v="127.38853503199999"/>
    <n v="1745"/>
    <n v="2183"/>
    <n v="7.5060171919770777"/>
  </r>
  <r>
    <n v="61"/>
    <x v="60"/>
    <d v="1993-12-04T00:00:00"/>
    <x v="0"/>
    <n v="30"/>
    <x v="50"/>
    <n v="5.6666666670000003"/>
    <n v="56.666666667000001"/>
    <n v="452"/>
    <n v="665"/>
    <n v="8.8274336283185839"/>
  </r>
  <r>
    <n v="62"/>
    <x v="61"/>
    <d v="1987-03-03T00:00:00"/>
    <x v="0"/>
    <n v="167"/>
    <x v="51"/>
    <n v="17.636363635999999"/>
    <n v="116.167664671"/>
    <n v="30"/>
    <n v="45"/>
    <n v="9"/>
  </r>
  <r>
    <n v="63"/>
    <x v="62"/>
    <m/>
    <x v="1"/>
    <n v="746"/>
    <x v="52"/>
    <n v="28.428571429000002"/>
    <n v="133.378016086"/>
    <m/>
    <m/>
    <s v=""/>
  </r>
  <r>
    <n v="64"/>
    <x v="63"/>
    <d v="1985-09-23T00:00:00"/>
    <x v="0"/>
    <n v="2616"/>
    <x v="53"/>
    <n v="29.061403509000002"/>
    <n v="126.643730887"/>
    <m/>
    <m/>
    <s v=""/>
  </r>
  <r>
    <n v="65"/>
    <x v="64"/>
    <d v="1984-06-17T00:00:00"/>
    <x v="0"/>
    <n v="23"/>
    <x v="54"/>
    <n v="7.8"/>
    <n v="169.565217391"/>
    <n v="41"/>
    <n v="63"/>
    <n v="9.2195121951219523"/>
  </r>
  <r>
    <n v="67"/>
    <x v="65"/>
    <m/>
    <x v="1"/>
    <n v="3"/>
    <x v="1"/>
    <m/>
    <n v="133.33333333300001"/>
    <n v="160"/>
    <n v="264"/>
    <n v="9.9"/>
  </r>
  <r>
    <n v="68"/>
    <x v="66"/>
    <d v="1975-02-28T00:00:00"/>
    <x v="9"/>
    <n v="302"/>
    <x v="55"/>
    <n v="20.421052631999999"/>
    <n v="128.47682119199999"/>
    <n v="552"/>
    <n v="707"/>
    <n v="7.6847826086956523"/>
  </r>
  <r>
    <n v="69"/>
    <x v="67"/>
    <d v="1977-10-07T00:00:00"/>
    <x v="0"/>
    <n v="55"/>
    <x v="56"/>
    <n v="10.857142856999999"/>
    <n v="138.181818182"/>
    <n v="193"/>
    <n v="246"/>
    <n v="7.6476683937823839"/>
  </r>
  <r>
    <n v="71"/>
    <x v="68"/>
    <d v="1983-01-27T00:00:00"/>
    <x v="0"/>
    <n v="250"/>
    <x v="0"/>
    <n v="17.5"/>
    <n v="112"/>
    <n v="6"/>
    <n v="20"/>
    <n v="20"/>
  </r>
  <r>
    <n v="72"/>
    <x v="69"/>
    <d v="1982-06-13T00:00:00"/>
    <x v="4"/>
    <m/>
    <x v="12"/>
    <m/>
    <m/>
    <n v="49"/>
    <n v="91"/>
    <n v="11.142857142857144"/>
  </r>
  <r>
    <n v="73"/>
    <x v="70"/>
    <d v="1990-02-05T00:00:00"/>
    <x v="0"/>
    <n v="189"/>
    <x v="57"/>
    <n v="8"/>
    <n v="97.354497354000003"/>
    <n v="2707"/>
    <n v="3264"/>
    <n v="7.2345770225341708"/>
  </r>
  <r>
    <n v="74"/>
    <x v="71"/>
    <d v="1982-10-03T00:00:00"/>
    <x v="4"/>
    <n v="13"/>
    <x v="16"/>
    <n v="2.5"/>
    <n v="38.461538462"/>
    <n v="179"/>
    <n v="293"/>
    <n v="9.8212290502793298"/>
  </r>
  <r>
    <n v="75"/>
    <x v="72"/>
    <d v="1976-11-08T00:00:00"/>
    <x v="4"/>
    <n v="96"/>
    <x v="58"/>
    <n v="12.4"/>
    <n v="129.16666666699999"/>
    <n v="916"/>
    <n v="1126"/>
    <n v="7.3755458515283845"/>
  </r>
  <r>
    <n v="76"/>
    <x v="73"/>
    <m/>
    <x v="1"/>
    <n v="2"/>
    <x v="16"/>
    <m/>
    <n v="250"/>
    <n v="150"/>
    <n v="204"/>
    <n v="8.16"/>
  </r>
  <r>
    <n v="77"/>
    <x v="74"/>
    <d v="1988-05-10T00:00:00"/>
    <x v="0"/>
    <n v="37"/>
    <x v="7"/>
    <n v="35"/>
    <n v="94.594594595000004"/>
    <m/>
    <m/>
    <s v=""/>
  </r>
  <r>
    <n v="78"/>
    <x v="75"/>
    <d v="1990-05-13T00:00:00"/>
    <x v="0"/>
    <n v="7"/>
    <x v="59"/>
    <m/>
    <n v="85.714285713999999"/>
    <n v="303"/>
    <n v="408"/>
    <n v="8.0792079207920793"/>
  </r>
  <r>
    <n v="79"/>
    <x v="76"/>
    <m/>
    <x v="1"/>
    <n v="481"/>
    <x v="60"/>
    <n v="21.366666667000001"/>
    <n v="133.26403326400001"/>
    <n v="615"/>
    <n v="867"/>
    <n v="8.4585365853658541"/>
  </r>
  <r>
    <n v="80"/>
    <x v="77"/>
    <m/>
    <x v="1"/>
    <n v="33"/>
    <x v="61"/>
    <n v="16"/>
    <n v="96.969696970000001"/>
    <n v="413"/>
    <n v="666"/>
    <n v="9.6755447941888626"/>
  </r>
  <r>
    <n v="81"/>
    <x v="78"/>
    <d v="1985-03-11T00:00:00"/>
    <x v="6"/>
    <n v="6"/>
    <x v="15"/>
    <n v="1.5"/>
    <n v="50"/>
    <n v="248"/>
    <n v="306"/>
    <n v="7.4032258064516121"/>
  </r>
  <r>
    <n v="82"/>
    <x v="79"/>
    <d v="1981-09-27T00:00:00"/>
    <x v="8"/>
    <n v="2185"/>
    <x v="62"/>
    <n v="27.226415094"/>
    <n v="132.082379863"/>
    <m/>
    <m/>
    <s v=""/>
  </r>
  <r>
    <n v="83"/>
    <x v="80"/>
    <d v="1988-12-14T00:00:00"/>
    <x v="0"/>
    <n v="113"/>
    <x v="63"/>
    <n v="25"/>
    <n v="110.61946902699999"/>
    <m/>
    <m/>
    <s v=""/>
  </r>
  <r>
    <n v="84"/>
    <x v="81"/>
    <d v="1992-12-10T00:00:00"/>
    <x v="0"/>
    <n v="14"/>
    <x v="64"/>
    <n v="11"/>
    <n v="78.571428570999998"/>
    <n v="516"/>
    <n v="786"/>
    <n v="9.1395348837209305"/>
  </r>
  <r>
    <n v="85"/>
    <x v="82"/>
    <d v="1987-01-30T00:00:00"/>
    <x v="4"/>
    <n v="141"/>
    <x v="65"/>
    <n v="21.727272726999999"/>
    <n v="169.503546099"/>
    <n v="288"/>
    <n v="434"/>
    <n v="9.0416666666666661"/>
  </r>
  <r>
    <n v="86"/>
    <x v="83"/>
    <d v="1990-06-08T00:00:00"/>
    <x v="3"/>
    <n v="3"/>
    <x v="66"/>
    <n v="1"/>
    <n v="33.333333332999999"/>
    <n v="157"/>
    <n v="239"/>
    <n v="9.1337579617834397"/>
  </r>
  <r>
    <n v="87"/>
    <x v="84"/>
    <d v="1983-09-28T00:00:00"/>
    <x v="0"/>
    <n v="121"/>
    <x v="67"/>
    <n v="31.166666667000001"/>
    <n v="154.54545454500001"/>
    <n v="436"/>
    <n v="581"/>
    <n v="7.9954128440366965"/>
  </r>
  <r>
    <n v="88"/>
    <x v="85"/>
    <d v="1977-10-23T00:00:00"/>
    <x v="4"/>
    <n v="11"/>
    <x v="68"/>
    <n v="18"/>
    <n v="163.636363636"/>
    <m/>
    <m/>
    <s v=""/>
  </r>
  <r>
    <n v="89"/>
    <x v="86"/>
    <d v="1974-12-29T00:00:00"/>
    <x v="4"/>
    <n v="1117"/>
    <x v="69"/>
    <n v="30.434782608999999"/>
    <n v="125.33572067999999"/>
    <n v="238"/>
    <n v="310"/>
    <n v="7.8151260504201687"/>
  </r>
  <r>
    <n v="90"/>
    <x v="87"/>
    <d v="1981-03-26T00:00:00"/>
    <x v="4"/>
    <n v="141"/>
    <x v="70"/>
    <n v="27.571428570999998"/>
    <n v="136.879432624"/>
    <n v="7"/>
    <n v="12"/>
    <n v="10.285714285714285"/>
  </r>
  <r>
    <n v="91"/>
    <x v="88"/>
    <d v="1983-01-15T00:00:00"/>
    <x v="6"/>
    <n v="27"/>
    <x v="71"/>
    <n v="7.6666666670000003"/>
    <n v="85.185185184999995"/>
    <n v="30"/>
    <n v="36"/>
    <n v="7.2"/>
  </r>
  <r>
    <n v="92"/>
    <x v="89"/>
    <d v="1987-03-11T00:00:00"/>
    <x v="4"/>
    <n v="35"/>
    <x v="72"/>
    <n v="13.333333333000001"/>
    <n v="114.285714286"/>
    <m/>
    <m/>
    <s v=""/>
  </r>
  <r>
    <n v="93"/>
    <x v="90"/>
    <d v="1983-03-15T00:00:00"/>
    <x v="4"/>
    <m/>
    <x v="12"/>
    <m/>
    <m/>
    <n v="390"/>
    <n v="497"/>
    <n v="7.6461538461538465"/>
  </r>
  <r>
    <n v="94"/>
    <x v="91"/>
    <m/>
    <x v="1"/>
    <n v="223"/>
    <x v="73"/>
    <n v="20.266666666999999"/>
    <n v="136.32286995499999"/>
    <n v="230"/>
    <n v="338"/>
    <n v="8.8173913043478258"/>
  </r>
  <r>
    <n v="95"/>
    <x v="92"/>
    <d v="1981-06-10T00:00:00"/>
    <x v="0"/>
    <m/>
    <x v="12"/>
    <m/>
    <m/>
    <n v="6"/>
    <n v="13"/>
    <n v="13"/>
  </r>
  <r>
    <n v="96"/>
    <x v="93"/>
    <m/>
    <x v="1"/>
    <n v="154"/>
    <x v="57"/>
    <n v="18.399999999999999"/>
    <n v="119.480519481"/>
    <m/>
    <m/>
    <s v=""/>
  </r>
  <r>
    <n v="97"/>
    <x v="94"/>
    <d v="1982-10-15T00:00:00"/>
    <x v="0"/>
    <n v="19"/>
    <x v="6"/>
    <n v="15"/>
    <n v="78.947368420999993"/>
    <m/>
    <m/>
    <s v=""/>
  </r>
  <r>
    <n v="98"/>
    <x v="95"/>
    <d v="1987-03-11T00:00:00"/>
    <x v="8"/>
    <n v="141"/>
    <x v="74"/>
    <n v="19.777777778000001"/>
    <n v="126.24113475199999"/>
    <n v="12"/>
    <n v="15"/>
    <n v="7.5"/>
  </r>
  <r>
    <n v="99"/>
    <x v="96"/>
    <d v="1979-03-29T00:00:00"/>
    <x v="0"/>
    <n v="1"/>
    <x v="26"/>
    <n v="0"/>
    <n v="0"/>
    <n v="50"/>
    <n v="58"/>
    <n v="6.9599999999999991"/>
  </r>
  <r>
    <n v="100"/>
    <x v="97"/>
    <d v="1985-07-03T00:00:00"/>
    <x v="3"/>
    <n v="26"/>
    <x v="75"/>
    <n v="10.5"/>
    <n v="80.769230769000004"/>
    <m/>
    <m/>
    <s v=""/>
  </r>
  <r>
    <n v="101"/>
    <x v="98"/>
    <d v="1990-04-10T00:00:00"/>
    <x v="4"/>
    <n v="909"/>
    <x v="76"/>
    <n v="34.810810811000003"/>
    <n v="141.69416941700001"/>
    <m/>
    <m/>
    <s v=""/>
  </r>
  <r>
    <n v="102"/>
    <x v="99"/>
    <d v="1988-01-25T00:00:00"/>
    <x v="0"/>
    <n v="391"/>
    <x v="77"/>
    <n v="21.666666667000001"/>
    <n v="99.744245523999993"/>
    <m/>
    <m/>
    <s v=""/>
  </r>
  <r>
    <n v="103"/>
    <x v="100"/>
    <d v="1979-09-21T00:00:00"/>
    <x v="7"/>
    <n v="2972"/>
    <x v="78"/>
    <n v="41.136363635999999"/>
    <n v="152.25437415900001"/>
    <n v="579"/>
    <n v="750"/>
    <n v="7.7720207253886011"/>
  </r>
  <r>
    <n v="104"/>
    <x v="101"/>
    <d v="1987-04-30T00:00:00"/>
    <x v="3"/>
    <n v="327"/>
    <x v="79"/>
    <n v="25.95"/>
    <n v="158.71559633000001"/>
    <n v="1335"/>
    <n v="1793"/>
    <n v="8.0584269662921351"/>
  </r>
  <r>
    <n v="105"/>
    <x v="102"/>
    <d v="1990-12-13T00:00:00"/>
    <x v="8"/>
    <n v="423"/>
    <x v="80"/>
    <n v="24.454545455000002"/>
    <n v="127.186761229"/>
    <n v="315"/>
    <n v="532"/>
    <n v="10.133333333333333"/>
  </r>
  <r>
    <n v="106"/>
    <x v="103"/>
    <d v="1984-11-21T00:00:00"/>
    <x v="4"/>
    <n v="116"/>
    <x v="81"/>
    <n v="16.333333332999999"/>
    <n v="84.482758621000002"/>
    <m/>
    <m/>
    <s v=""/>
  </r>
  <r>
    <n v="107"/>
    <x v="104"/>
    <d v="1988-10-04T00:00:00"/>
    <x v="2"/>
    <n v="5"/>
    <x v="15"/>
    <n v="3"/>
    <n v="60"/>
    <n v="213"/>
    <n v="316"/>
    <n v="8.9014084507042259"/>
  </r>
  <r>
    <n v="108"/>
    <x v="105"/>
    <d v="1983-02-20T00:00:00"/>
    <x v="4"/>
    <n v="15"/>
    <x v="82"/>
    <n v="8"/>
    <n v="53.333333332999999"/>
    <n v="42"/>
    <n v="60"/>
    <n v="8.5714285714285712"/>
  </r>
  <r>
    <n v="109"/>
    <x v="106"/>
    <d v="1987-02-24T00:00:00"/>
    <x v="6"/>
    <n v="23"/>
    <x v="83"/>
    <n v="5.3333333329999997"/>
    <n v="69.565217391000004"/>
    <n v="17"/>
    <n v="49"/>
    <n v="17.294117647058822"/>
  </r>
  <r>
    <n v="110"/>
    <x v="107"/>
    <d v="1974-12-17T00:00:00"/>
    <x v="2"/>
    <n v="9"/>
    <x v="82"/>
    <n v="4"/>
    <n v="88.888888889"/>
    <n v="165"/>
    <n v="199"/>
    <n v="7.2363636363636363"/>
  </r>
  <r>
    <n v="111"/>
    <x v="108"/>
    <d v="1983-08-18T00:00:00"/>
    <x v="4"/>
    <n v="760"/>
    <x v="84"/>
    <n v="27.742857142999998"/>
    <n v="127.76315789500001"/>
    <n v="46"/>
    <n v="86"/>
    <n v="11.217391304347826"/>
  </r>
  <r>
    <n v="112"/>
    <x v="109"/>
    <d v="1986-03-08T00:00:00"/>
    <x v="0"/>
    <n v="148"/>
    <x v="85"/>
    <n v="18.777777778000001"/>
    <n v="114.189189189"/>
    <m/>
    <m/>
    <s v=""/>
  </r>
  <r>
    <n v="113"/>
    <x v="110"/>
    <d v="1988-07-18T00:00:00"/>
    <x v="7"/>
    <n v="110"/>
    <x v="86"/>
    <n v="13"/>
    <n v="165.45454545499999"/>
    <n v="266"/>
    <n v="392"/>
    <n v="8.8421052631578938"/>
  </r>
  <r>
    <n v="114"/>
    <x v="111"/>
    <m/>
    <x v="1"/>
    <n v="66"/>
    <x v="44"/>
    <n v="12.6"/>
    <n v="95.454545455000002"/>
    <n v="396"/>
    <n v="603"/>
    <n v="9.1363636363636367"/>
  </r>
  <r>
    <n v="115"/>
    <x v="112"/>
    <d v="1979-07-19T00:00:00"/>
    <x v="6"/>
    <n v="3"/>
    <x v="1"/>
    <n v="4"/>
    <n v="133.33333333300001"/>
    <n v="249"/>
    <n v="306"/>
    <n v="7.3734939759036147"/>
  </r>
  <r>
    <n v="116"/>
    <x v="113"/>
    <d v="1981-11-08T00:00:00"/>
    <x v="3"/>
    <n v="13"/>
    <x v="36"/>
    <n v="10"/>
    <n v="76.923076922999996"/>
    <n v="43"/>
    <n v="56"/>
    <n v="7.8139534883720927"/>
  </r>
  <r>
    <n v="117"/>
    <x v="114"/>
    <d v="1983-12-16T00:00:00"/>
    <x v="0"/>
    <n v="7"/>
    <x v="15"/>
    <n v="3"/>
    <n v="42.857142856999999"/>
    <n v="50"/>
    <n v="88"/>
    <n v="10.559999999999999"/>
  </r>
  <r>
    <n v="118"/>
    <x v="115"/>
    <d v="1982-11-12T00:00:00"/>
    <x v="0"/>
    <n v="24"/>
    <x v="87"/>
    <n v="33"/>
    <n v="137.5"/>
    <n v="51"/>
    <n v="80"/>
    <n v="9.4117647058823533"/>
  </r>
  <r>
    <n v="119"/>
    <x v="116"/>
    <m/>
    <x v="1"/>
    <n v="17"/>
    <x v="88"/>
    <n v="6.5"/>
    <n v="76.470588234999994"/>
    <m/>
    <m/>
    <s v=""/>
  </r>
  <r>
    <n v="120"/>
    <x v="117"/>
    <m/>
    <x v="1"/>
    <n v="99"/>
    <x v="89"/>
    <n v="16.571428570999998"/>
    <n v="117.171717172"/>
    <n v="18"/>
    <n v="27"/>
    <n v="9"/>
  </r>
  <r>
    <n v="121"/>
    <x v="118"/>
    <d v="1985-05-18T00:00:00"/>
    <x v="3"/>
    <n v="90"/>
    <x v="90"/>
    <n v="25.4"/>
    <n v="141.11111111100001"/>
    <n v="289"/>
    <n v="409"/>
    <n v="8.491349480968859"/>
  </r>
  <r>
    <n v="122"/>
    <x v="119"/>
    <m/>
    <x v="1"/>
    <m/>
    <x v="12"/>
    <m/>
    <m/>
    <n v="61"/>
    <n v="98"/>
    <n v="9.6393442622950829"/>
  </r>
  <r>
    <n v="123"/>
    <x v="120"/>
    <d v="1989-06-10T00:00:00"/>
    <x v="3"/>
    <n v="1327"/>
    <x v="91"/>
    <n v="34.407407407000001"/>
    <n v="140.01507158999999"/>
    <m/>
    <m/>
    <s v=""/>
  </r>
  <r>
    <n v="124"/>
    <x v="121"/>
    <d v="1986-10-27T00:00:00"/>
    <x v="4"/>
    <n v="3292"/>
    <x v="92"/>
    <n v="41.377192981999997"/>
    <n v="143.28675577199999"/>
    <m/>
    <m/>
    <s v=""/>
  </r>
  <r>
    <n v="125"/>
    <x v="122"/>
    <d v="1990-09-28T00:00:00"/>
    <x v="8"/>
    <n v="9"/>
    <x v="18"/>
    <m/>
    <n v="133.33333333300001"/>
    <n v="25"/>
    <n v="32"/>
    <n v="7.68"/>
  </r>
  <r>
    <n v="126"/>
    <x v="123"/>
    <d v="1986-09-22T00:00:00"/>
    <x v="0"/>
    <n v="260"/>
    <x v="73"/>
    <n v="25.333333332999999"/>
    <n v="116.923076923"/>
    <m/>
    <m/>
    <s v=""/>
  </r>
  <r>
    <n v="127"/>
    <x v="124"/>
    <d v="1987-09-05T00:00:00"/>
    <x v="0"/>
    <n v="317"/>
    <x v="93"/>
    <n v="18.75"/>
    <n v="118.296529968"/>
    <n v="18"/>
    <n v="28"/>
    <n v="9.3333333333333339"/>
  </r>
  <r>
    <n v="128"/>
    <x v="125"/>
    <d v="1981-07-24T00:00:00"/>
    <x v="4"/>
    <n v="22"/>
    <x v="75"/>
    <n v="21"/>
    <n v="95.454545455000002"/>
    <n v="600"/>
    <n v="716"/>
    <n v="7.16"/>
  </r>
  <r>
    <n v="129"/>
    <x v="126"/>
    <d v="1983-06-22T00:00:00"/>
    <x v="0"/>
    <n v="135"/>
    <x v="94"/>
    <n v="18.888888889"/>
    <n v="125.92592592600001"/>
    <m/>
    <m/>
    <s v=""/>
  </r>
  <r>
    <n v="130"/>
    <x v="127"/>
    <d v="1983-10-07T00:00:00"/>
    <x v="7"/>
    <n v="1155"/>
    <x v="95"/>
    <n v="23.714285713999999"/>
    <n v="129.35064935099999"/>
    <n v="2711"/>
    <n v="3733"/>
    <n v="8.2618959793434161"/>
  </r>
  <r>
    <n v="131"/>
    <x v="128"/>
    <d v="1979-12-31T00:00:00"/>
    <x v="4"/>
    <n v="101"/>
    <x v="96"/>
    <n v="37"/>
    <n v="109.900990099"/>
    <n v="18"/>
    <n v="26"/>
    <n v="8.6666666666666661"/>
  </r>
  <r>
    <n v="132"/>
    <x v="129"/>
    <d v="1995-04-19T00:00:00"/>
    <x v="0"/>
    <n v="413"/>
    <x v="97"/>
    <n v="15.939393939"/>
    <n v="127.360774818"/>
    <n v="233"/>
    <n v="318"/>
    <n v="8.1888412017167376"/>
  </r>
  <r>
    <n v="133"/>
    <x v="130"/>
    <d v="1977-07-15T00:00:00"/>
    <x v="4"/>
    <n v="1069"/>
    <x v="98"/>
    <n v="27.541666667000001"/>
    <n v="123.666978485"/>
    <n v="323"/>
    <n v="485"/>
    <n v="9.0092879256965936"/>
  </r>
  <r>
    <n v="134"/>
    <x v="131"/>
    <d v="1982-11-04T00:00:00"/>
    <x v="3"/>
    <n v="97"/>
    <x v="39"/>
    <n v="13.142857143000001"/>
    <n v="94.845360825"/>
    <m/>
    <m/>
    <s v=""/>
  </r>
  <r>
    <n v="135"/>
    <x v="132"/>
    <d v="1981-03-09T00:00:00"/>
    <x v="0"/>
    <n v="3"/>
    <x v="66"/>
    <n v="1"/>
    <n v="33.333333332999999"/>
    <n v="84"/>
    <n v="108"/>
    <n v="7.7142857142857144"/>
  </r>
  <r>
    <n v="136"/>
    <x v="133"/>
    <d v="1978-10-01T00:00:00"/>
    <x v="4"/>
    <n v="52"/>
    <x v="54"/>
    <n v="13"/>
    <n v="75"/>
    <n v="44"/>
    <n v="40"/>
    <n v="5.454545454545455"/>
  </r>
  <r>
    <n v="137"/>
    <x v="134"/>
    <d v="1983-12-20T00:00:00"/>
    <x v="7"/>
    <n v="241"/>
    <x v="99"/>
    <n v="19.666666667000001"/>
    <n v="122.406639004"/>
    <n v="244"/>
    <n v="354"/>
    <n v="8.7049180327868854"/>
  </r>
  <r>
    <n v="138"/>
    <x v="135"/>
    <d v="1992-08-07T00:00:00"/>
    <x v="0"/>
    <n v="44"/>
    <x v="100"/>
    <n v="11.833333333000001"/>
    <n v="161.363636364"/>
    <n v="728"/>
    <n v="923"/>
    <n v="7.6071428571428577"/>
  </r>
  <r>
    <n v="139"/>
    <x v="136"/>
    <d v="1979-01-27T00:00:00"/>
    <x v="8"/>
    <n v="109"/>
    <x v="101"/>
    <n v="17.285714286000001"/>
    <n v="111.009174312"/>
    <n v="785"/>
    <n v="894"/>
    <n v="6.8331210191082796"/>
  </r>
  <r>
    <n v="140"/>
    <x v="137"/>
    <m/>
    <x v="1"/>
    <n v="5"/>
    <x v="59"/>
    <m/>
    <n v="120"/>
    <m/>
    <m/>
    <s v=""/>
  </r>
  <r>
    <n v="141"/>
    <x v="138"/>
    <d v="1978-05-13T00:00:00"/>
    <x v="6"/>
    <n v="9"/>
    <x v="64"/>
    <n v="11"/>
    <n v="122.222222222"/>
    <n v="69"/>
    <n v="100"/>
    <n v="8.695652173913043"/>
  </r>
  <r>
    <n v="142"/>
    <x v="139"/>
    <d v="1976-05-16T00:00:00"/>
    <x v="4"/>
    <n v="13"/>
    <x v="1"/>
    <n v="4"/>
    <n v="30.769230769"/>
    <n v="689"/>
    <n v="815"/>
    <n v="7.0972423802612488"/>
  </r>
  <r>
    <n v="143"/>
    <x v="140"/>
    <d v="1986-10-20T00:00:00"/>
    <x v="0"/>
    <n v="1"/>
    <x v="66"/>
    <m/>
    <n v="100"/>
    <n v="159"/>
    <n v="205"/>
    <n v="7.7358490566037732"/>
  </r>
  <r>
    <n v="144"/>
    <x v="141"/>
    <d v="1977-05-27T00:00:00"/>
    <x v="6"/>
    <n v="1460"/>
    <x v="102"/>
    <n v="28.25"/>
    <n v="123.835616438"/>
    <m/>
    <m/>
    <s v=""/>
  </r>
  <r>
    <n v="145"/>
    <x v="142"/>
    <d v="1971-10-21T00:00:00"/>
    <x v="4"/>
    <n v="24"/>
    <x v="10"/>
    <n v="9.5"/>
    <n v="79.166666667000001"/>
    <m/>
    <m/>
    <s v=""/>
  </r>
  <r>
    <n v="146"/>
    <x v="143"/>
    <d v="1983-04-12T00:00:00"/>
    <x v="7"/>
    <n v="1758"/>
    <x v="103"/>
    <n v="29.444444443999998"/>
    <n v="135.66552901"/>
    <n v="557"/>
    <n v="825"/>
    <n v="8.8868940754039496"/>
  </r>
  <r>
    <n v="147"/>
    <x v="144"/>
    <d v="1988-12-10T00:00:00"/>
    <x v="0"/>
    <n v="106"/>
    <x v="104"/>
    <n v="11.222222221999999"/>
    <n v="95.283018867999999"/>
    <n v="1830"/>
    <n v="2461"/>
    <n v="8.0688524590163926"/>
  </r>
  <r>
    <n v="148"/>
    <x v="145"/>
    <d v="1970-02-05T00:00:00"/>
    <x v="4"/>
    <n v="18"/>
    <x v="68"/>
    <n v="9"/>
    <n v="100"/>
    <m/>
    <m/>
    <s v=""/>
  </r>
  <r>
    <n v="149"/>
    <x v="146"/>
    <d v="1983-05-04T00:00:00"/>
    <x v="4"/>
    <n v="373"/>
    <x v="105"/>
    <n v="18.666666667000001"/>
    <n v="120.107238606"/>
    <n v="818"/>
    <n v="1067"/>
    <n v="7.8264058679706592"/>
  </r>
  <r>
    <n v="150"/>
    <x v="147"/>
    <d v="1984-12-06T00:00:00"/>
    <x v="0"/>
    <n v="13"/>
    <x v="88"/>
    <n v="13"/>
    <n v="100"/>
    <m/>
    <m/>
    <s v=""/>
  </r>
  <r>
    <n v="151"/>
    <x v="148"/>
    <d v="1983-06-27T00:00:00"/>
    <x v="3"/>
    <n v="157"/>
    <x v="106"/>
    <n v="7.5454545450000001"/>
    <n v="105.73248407600001"/>
    <n v="2207"/>
    <n v="2454"/>
    <n v="6.6714997734481196"/>
  </r>
  <r>
    <n v="152"/>
    <x v="149"/>
    <m/>
    <x v="1"/>
    <n v="327"/>
    <x v="107"/>
    <n v="27.3125"/>
    <n v="133.63914373099999"/>
    <m/>
    <m/>
    <s v=""/>
  </r>
  <r>
    <n v="153"/>
    <x v="150"/>
    <d v="1986-09-10T00:00:00"/>
    <x v="2"/>
    <n v="702"/>
    <x v="108"/>
    <n v="22.473684210999998"/>
    <n v="121.652421652"/>
    <m/>
    <m/>
    <s v=""/>
  </r>
  <r>
    <n v="154"/>
    <x v="151"/>
    <d v="1988-07-22T00:00:00"/>
    <x v="0"/>
    <n v="14"/>
    <x v="109"/>
    <n v="12"/>
    <n v="171.42857142899999"/>
    <m/>
    <m/>
    <s v=""/>
  </r>
  <r>
    <n v="155"/>
    <x v="152"/>
    <d v="1983-10-09T00:00:00"/>
    <x v="3"/>
    <n v="13"/>
    <x v="110"/>
    <n v="7"/>
    <n v="107.692307692"/>
    <m/>
    <m/>
    <s v=""/>
  </r>
  <r>
    <n v="156"/>
    <x v="153"/>
    <d v="1984-07-13T00:00:00"/>
    <x v="3"/>
    <n v="1459"/>
    <x v="111"/>
    <n v="33.232142856999999"/>
    <n v="127.553118574"/>
    <n v="6"/>
    <n v="16"/>
    <n v="16"/>
  </r>
  <r>
    <n v="157"/>
    <x v="154"/>
    <d v="1982-02-06T00:00:00"/>
    <x v="7"/>
    <n v="5"/>
    <x v="1"/>
    <n v="4"/>
    <n v="80"/>
    <n v="150"/>
    <n v="160"/>
    <n v="6.4"/>
  </r>
  <r>
    <n v="158"/>
    <x v="155"/>
    <d v="1985-09-07T00:00:00"/>
    <x v="0"/>
    <n v="172"/>
    <x v="112"/>
    <n v="20.333333332999999"/>
    <n v="106.395348837"/>
    <n v="12"/>
    <n v="20"/>
    <n v="10"/>
  </r>
  <r>
    <n v="159"/>
    <x v="156"/>
    <d v="1981-10-14T00:00:00"/>
    <x v="0"/>
    <n v="3400"/>
    <x v="113"/>
    <n v="31.485074626999999"/>
    <n v="124.088235294"/>
    <m/>
    <m/>
    <s v=""/>
  </r>
  <r>
    <n v="160"/>
    <x v="157"/>
    <d v="1981-10-03T00:00:00"/>
    <x v="0"/>
    <m/>
    <x v="12"/>
    <m/>
    <m/>
    <n v="84"/>
    <n v="142"/>
    <n v="10.142857142857142"/>
  </r>
  <r>
    <n v="161"/>
    <x v="158"/>
    <d v="1971-02-06T00:00:00"/>
    <x v="4"/>
    <n v="22"/>
    <x v="114"/>
    <n v="11"/>
    <n v="100"/>
    <n v="466"/>
    <n v="585"/>
    <n v="7.5321888412017159"/>
  </r>
  <r>
    <n v="162"/>
    <x v="159"/>
    <d v="1981-02-01T00:00:00"/>
    <x v="3"/>
    <n v="666"/>
    <x v="115"/>
    <n v="24.633333332999999"/>
    <n v="110.960960961"/>
    <m/>
    <m/>
    <s v=""/>
  </r>
  <r>
    <n v="163"/>
    <x v="160"/>
    <d v="1970-02-09T00:00:00"/>
    <x v="4"/>
    <n v="5"/>
    <x v="1"/>
    <n v="4"/>
    <n v="80"/>
    <n v="329"/>
    <n v="366"/>
    <n v="6.6747720364741641"/>
  </r>
  <r>
    <n v="164"/>
    <x v="161"/>
    <d v="1993-10-13T00:00:00"/>
    <x v="0"/>
    <n v="312"/>
    <x v="0"/>
    <n v="15.555555556"/>
    <n v="89.743589744000005"/>
    <n v="37"/>
    <n v="39"/>
    <n v="6.3243243243243237"/>
  </r>
  <r>
    <n v="165"/>
    <x v="162"/>
    <d v="1982-09-07T00:00:00"/>
    <x v="4"/>
    <n v="543"/>
    <x v="116"/>
    <n v="22.862068965999999"/>
    <n v="122.099447514"/>
    <m/>
    <m/>
    <s v=""/>
  </r>
  <r>
    <n v="166"/>
    <x v="163"/>
    <d v="1988-10-14T00:00:00"/>
    <x v="4"/>
    <n v="864"/>
    <x v="117"/>
    <n v="22.596774194000002"/>
    <n v="162.152777778"/>
    <n v="432"/>
    <n v="617"/>
    <n v="8.5694444444444446"/>
  </r>
  <r>
    <n v="167"/>
    <x v="164"/>
    <d v="1980-01-06T00:00:00"/>
    <x v="2"/>
    <n v="16"/>
    <x v="6"/>
    <n v="15"/>
    <n v="93.75"/>
    <n v="24"/>
    <n v="28"/>
    <n v="7"/>
  </r>
  <r>
    <n v="168"/>
    <x v="165"/>
    <d v="1993-06-14T00:00:00"/>
    <x v="4"/>
    <m/>
    <x v="12"/>
    <m/>
    <m/>
    <n v="48"/>
    <n v="86"/>
    <n v="10.75"/>
  </r>
  <r>
    <n v="169"/>
    <x v="166"/>
    <d v="1990-06-29T00:00:00"/>
    <x v="0"/>
    <n v="342"/>
    <x v="118"/>
    <n v="17.038461538"/>
    <n v="129.53216374300001"/>
    <n v="82"/>
    <n v="97"/>
    <n v="7.0975609756097562"/>
  </r>
  <r>
    <n v="170"/>
    <x v="167"/>
    <m/>
    <x v="1"/>
    <n v="12"/>
    <x v="29"/>
    <m/>
    <n v="166.66666666699999"/>
    <n v="30"/>
    <n v="48"/>
    <n v="9.6"/>
  </r>
  <r>
    <n v="171"/>
    <x v="168"/>
    <d v="1986-12-10T00:00:00"/>
    <x v="0"/>
    <n v="5"/>
    <x v="13"/>
    <n v="2"/>
    <n v="40"/>
    <m/>
    <m/>
    <s v=""/>
  </r>
  <r>
    <n v="172"/>
    <x v="169"/>
    <m/>
    <x v="1"/>
    <n v="5"/>
    <x v="66"/>
    <m/>
    <n v="20"/>
    <n v="169"/>
    <n v="247"/>
    <n v="8.7692307692307683"/>
  </r>
  <r>
    <n v="173"/>
    <x v="170"/>
    <m/>
    <x v="1"/>
    <n v="57"/>
    <x v="119"/>
    <n v="13.4"/>
    <n v="117.543859649"/>
    <m/>
    <m/>
    <s v=""/>
  </r>
  <r>
    <n v="174"/>
    <x v="171"/>
    <m/>
    <x v="1"/>
    <n v="8"/>
    <x v="1"/>
    <n v="2"/>
    <n v="50"/>
    <n v="6"/>
    <n v="9"/>
    <n v="9"/>
  </r>
  <r>
    <n v="175"/>
    <x v="172"/>
    <m/>
    <x v="1"/>
    <n v="5"/>
    <x v="15"/>
    <n v="1.5"/>
    <n v="60"/>
    <n v="146"/>
    <n v="248"/>
    <n v="10.191780821917808"/>
  </r>
  <r>
    <n v="176"/>
    <x v="173"/>
    <d v="1980-07-03T00:00:00"/>
    <x v="0"/>
    <n v="597"/>
    <x v="120"/>
    <n v="14.839285714000001"/>
    <n v="139.19597989900001"/>
    <n v="3451"/>
    <n v="4050"/>
    <n v="7.0414372645609973"/>
  </r>
  <r>
    <n v="177"/>
    <x v="174"/>
    <d v="1992-09-07T00:00:00"/>
    <x v="0"/>
    <n v="12"/>
    <x v="68"/>
    <n v="9"/>
    <n v="150"/>
    <n v="549"/>
    <n v="713"/>
    <n v="7.7923497267759565"/>
  </r>
  <r>
    <n v="178"/>
    <x v="175"/>
    <m/>
    <x v="1"/>
    <m/>
    <x v="12"/>
    <m/>
    <m/>
    <n v="25"/>
    <n v="34"/>
    <n v="8.16"/>
  </r>
  <r>
    <n v="179"/>
    <x v="176"/>
    <d v="1991-08-11T00:00:00"/>
    <x v="0"/>
    <n v="26"/>
    <x v="29"/>
    <n v="10"/>
    <n v="76.923076922999996"/>
    <m/>
    <m/>
    <s v=""/>
  </r>
  <r>
    <n v="180"/>
    <x v="177"/>
    <d v="1974-02-23T00:00:00"/>
    <x v="3"/>
    <n v="802"/>
    <x v="121"/>
    <n v="27.6875"/>
    <n v="110.473815461"/>
    <m/>
    <m/>
    <s v=""/>
  </r>
  <r>
    <n v="181"/>
    <x v="178"/>
    <d v="1993-10-11T00:00:00"/>
    <x v="0"/>
    <n v="689"/>
    <x v="122"/>
    <n v="28.473684210999998"/>
    <n v="157.039187228"/>
    <n v="914"/>
    <n v="1385"/>
    <n v="9.0919037199124713"/>
  </r>
  <r>
    <n v="182"/>
    <x v="179"/>
    <d v="1983-03-31T00:00:00"/>
    <x v="3"/>
    <n v="407"/>
    <x v="123"/>
    <n v="44.384615384999996"/>
    <n v="141.76904176900001"/>
    <m/>
    <m/>
    <s v=""/>
  </r>
  <r>
    <n v="183"/>
    <x v="180"/>
    <d v="1990-11-23T00:00:00"/>
    <x v="0"/>
    <n v="68"/>
    <x v="124"/>
    <n v="13.375"/>
    <n v="157.352941176"/>
    <n v="868"/>
    <n v="1262"/>
    <n v="8.7235023041474662"/>
  </r>
  <r>
    <n v="184"/>
    <x v="181"/>
    <d v="1984-05-23T00:00:00"/>
    <x v="0"/>
    <n v="4"/>
    <x v="35"/>
    <m/>
    <n v="175"/>
    <n v="6"/>
    <n v="23"/>
    <n v="23"/>
  </r>
  <r>
    <n v="185"/>
    <x v="182"/>
    <d v="1988-09-02T00:00:00"/>
    <x v="0"/>
    <n v="61"/>
    <x v="125"/>
    <n v="7.8571428570000004"/>
    <n v="90.163934425999997"/>
    <n v="1999"/>
    <n v="2682"/>
    <n v="8.0500250125062518"/>
  </r>
  <r>
    <n v="186"/>
    <x v="183"/>
    <m/>
    <x v="1"/>
    <n v="17"/>
    <x v="35"/>
    <n v="3.5"/>
    <n v="41.176470588000001"/>
    <n v="183"/>
    <n v="207"/>
    <n v="6.7868852459016393"/>
  </r>
  <r>
    <n v="187"/>
    <x v="184"/>
    <d v="1989-08-15T00:00:00"/>
    <x v="0"/>
    <n v="2"/>
    <x v="26"/>
    <n v="0"/>
    <n v="0"/>
    <n v="469"/>
    <n v="609"/>
    <n v="7.7910447761194028"/>
  </r>
  <r>
    <n v="188"/>
    <x v="185"/>
    <d v="1984-10-27T00:00:00"/>
    <x v="0"/>
    <n v="948"/>
    <x v="126"/>
    <n v="22.115384615"/>
    <n v="121.308016878"/>
    <n v="2113"/>
    <n v="2711"/>
    <n v="7.6980596308566014"/>
  </r>
  <r>
    <n v="189"/>
    <x v="186"/>
    <d v="1979-03-27T00:00:00"/>
    <x v="0"/>
    <n v="27"/>
    <x v="29"/>
    <n v="5"/>
    <n v="74.074074073999995"/>
    <n v="1249"/>
    <n v="1656"/>
    <n v="7.9551641313050441"/>
  </r>
  <r>
    <n v="190"/>
    <x v="187"/>
    <d v="1989-12-02T00:00:00"/>
    <x v="0"/>
    <n v="83"/>
    <x v="127"/>
    <n v="88"/>
    <n v="106.024096386"/>
    <n v="943"/>
    <n v="1125"/>
    <n v="7.1580063626723227"/>
  </r>
  <r>
    <n v="191"/>
    <x v="188"/>
    <d v="1989-01-27T00:00:00"/>
    <x v="0"/>
    <n v="97"/>
    <x v="56"/>
    <n v="15.2"/>
    <n v="78.350515463999997"/>
    <m/>
    <m/>
    <s v=""/>
  </r>
  <r>
    <n v="192"/>
    <x v="189"/>
    <d v="1998-07-18T00:00:00"/>
    <x v="0"/>
    <n v="531"/>
    <x v="128"/>
    <n v="22.612903226"/>
    <n v="132.015065913"/>
    <m/>
    <m/>
    <s v=""/>
  </r>
  <r>
    <n v="193"/>
    <x v="190"/>
    <m/>
    <x v="1"/>
    <n v="61"/>
    <x v="129"/>
    <n v="12"/>
    <n v="137.70491803300001"/>
    <n v="514"/>
    <n v="676"/>
    <n v="7.891050583657587"/>
  </r>
  <r>
    <n v="194"/>
    <x v="191"/>
    <d v="1975-01-18T00:00:00"/>
    <x v="0"/>
    <n v="23"/>
    <x v="71"/>
    <n v="7.6666666670000003"/>
    <n v="100"/>
    <m/>
    <m/>
    <s v=""/>
  </r>
  <r>
    <n v="195"/>
    <x v="192"/>
    <m/>
    <x v="1"/>
    <n v="284"/>
    <x v="130"/>
    <n v="57.375"/>
    <n v="161.61971831"/>
    <m/>
    <m/>
    <s v=""/>
  </r>
  <r>
    <n v="196"/>
    <x v="193"/>
    <m/>
    <x v="1"/>
    <m/>
    <x v="12"/>
    <m/>
    <m/>
    <n v="117"/>
    <n v="174"/>
    <n v="8.9230769230769234"/>
  </r>
  <r>
    <n v="197"/>
    <x v="194"/>
    <d v="1982-05-02T00:00:00"/>
    <x v="3"/>
    <n v="358"/>
    <x v="131"/>
    <n v="18.590909091"/>
    <n v="114.245810056"/>
    <n v="709"/>
    <n v="818"/>
    <n v="6.9224259520451339"/>
  </r>
  <r>
    <n v="198"/>
    <x v="195"/>
    <m/>
    <x v="1"/>
    <m/>
    <x v="12"/>
    <m/>
    <m/>
    <n v="19"/>
    <n v="35"/>
    <n v="11.052631578947368"/>
  </r>
  <r>
    <n v="199"/>
    <x v="196"/>
    <m/>
    <x v="1"/>
    <n v="1"/>
    <x v="26"/>
    <n v="0"/>
    <n v="0"/>
    <m/>
    <m/>
    <s v=""/>
  </r>
  <r>
    <n v="200"/>
    <x v="197"/>
    <m/>
    <x v="1"/>
    <n v="6"/>
    <x v="82"/>
    <n v="8"/>
    <n v="133.33333333300001"/>
    <n v="45"/>
    <n v="92"/>
    <n v="12.266666666666667"/>
  </r>
  <r>
    <n v="201"/>
    <x v="198"/>
    <d v="1994-01-16T00:00:00"/>
    <x v="0"/>
    <n v="46"/>
    <x v="132"/>
    <n v="27"/>
    <n v="117.39130434800001"/>
    <n v="277"/>
    <n v="397"/>
    <n v="8.5992779783393498"/>
  </r>
  <r>
    <n v="202"/>
    <x v="199"/>
    <d v="1983-06-03T00:00:00"/>
    <x v="0"/>
    <n v="26"/>
    <x v="133"/>
    <n v="14.5"/>
    <n v="111.53846153800001"/>
    <n v="196"/>
    <n v="286"/>
    <n v="8.7551020408163271"/>
  </r>
  <r>
    <n v="203"/>
    <x v="200"/>
    <d v="1985-07-24T00:00:00"/>
    <x v="3"/>
    <n v="12"/>
    <x v="36"/>
    <n v="5"/>
    <n v="83.333333332999999"/>
    <n v="235"/>
    <n v="311"/>
    <n v="7.9404255319148938"/>
  </r>
  <r>
    <n v="204"/>
    <x v="201"/>
    <d v="1990-01-22T00:00:00"/>
    <x v="0"/>
    <n v="10"/>
    <x v="59"/>
    <m/>
    <n v="60"/>
    <n v="226"/>
    <n v="248"/>
    <n v="6.5840707964601775"/>
  </r>
  <r>
    <n v="205"/>
    <x v="202"/>
    <d v="1981-06-10T00:00:00"/>
    <x v="3"/>
    <n v="682"/>
    <x v="134"/>
    <n v="24.375"/>
    <n v="142.96187683299999"/>
    <n v="1807"/>
    <n v="2409"/>
    <n v="7.9988931931377971"/>
  </r>
  <r>
    <n v="206"/>
    <x v="203"/>
    <d v="1989-09-04T00:00:00"/>
    <x v="0"/>
    <n v="11"/>
    <x v="82"/>
    <n v="4"/>
    <n v="72.727272726999999"/>
    <n v="111"/>
    <n v="174"/>
    <n v="9.4054054054054053"/>
  </r>
  <r>
    <n v="207"/>
    <x v="204"/>
    <d v="1990-09-08T00:00:00"/>
    <x v="2"/>
    <n v="919"/>
    <x v="135"/>
    <n v="37.729729730000003"/>
    <n v="151.90424374299999"/>
    <m/>
    <m/>
    <s v=""/>
  </r>
  <r>
    <n v="208"/>
    <x v="205"/>
    <d v="1984-08-06T00:00:00"/>
    <x v="8"/>
    <n v="456"/>
    <x v="136"/>
    <n v="20.827586207"/>
    <n v="132.45614035099999"/>
    <n v="241"/>
    <n v="314"/>
    <n v="7.8174273858921168"/>
  </r>
  <r>
    <n v="209"/>
    <x v="206"/>
    <d v="1991-10-18T00:00:00"/>
    <x v="0"/>
    <n v="53"/>
    <x v="125"/>
    <n v="7.8571428570000004"/>
    <n v="103.773584906"/>
    <n v="1541"/>
    <n v="2244"/>
    <n v="8.73718364698248"/>
  </r>
  <r>
    <n v="210"/>
    <x v="207"/>
    <d v="1978-07-28T00:00:00"/>
    <x v="8"/>
    <n v="108"/>
    <x v="137"/>
    <n v="13.25"/>
    <n v="98.148148148000004"/>
    <n v="244"/>
    <n v="362"/>
    <n v="8.9016393442622963"/>
  </r>
  <r>
    <n v="211"/>
    <x v="208"/>
    <d v="1990-09-17T00:00:00"/>
    <x v="8"/>
    <n v="46"/>
    <x v="22"/>
    <n v="14"/>
    <n v="91.304347825999997"/>
    <n v="57"/>
    <n v="96"/>
    <n v="10.105263157894736"/>
  </r>
  <r>
    <n v="212"/>
    <x v="209"/>
    <d v="1984-06-22T00:00:00"/>
    <x v="8"/>
    <n v="3"/>
    <x v="15"/>
    <m/>
    <n v="100"/>
    <n v="122"/>
    <n v="167"/>
    <n v="8.2131147540983616"/>
  </r>
  <r>
    <n v="213"/>
    <x v="210"/>
    <d v="1980-11-07T00:00:00"/>
    <x v="8"/>
    <n v="300"/>
    <x v="138"/>
    <n v="29.727272726999999"/>
    <n v="109"/>
    <n v="155"/>
    <n v="225"/>
    <n v="8.7096774193548399"/>
  </r>
  <r>
    <n v="214"/>
    <x v="211"/>
    <d v="1975-10-16T00:00:00"/>
    <x v="3"/>
    <n v="2219"/>
    <x v="139"/>
    <n v="27.269662920999998"/>
    <n v="109.37359170800001"/>
    <n v="1799"/>
    <n v="2348"/>
    <n v="7.8310172317954425"/>
  </r>
  <r>
    <n v="215"/>
    <x v="212"/>
    <d v="1993-12-06T00:00:00"/>
    <x v="0"/>
    <n v="38"/>
    <x v="46"/>
    <n v="12.333333333000001"/>
    <n v="97.368421053000006"/>
    <n v="1798"/>
    <n v="2299"/>
    <n v="7.6718576195773078"/>
  </r>
  <r>
    <n v="216"/>
    <x v="213"/>
    <m/>
    <x v="1"/>
    <n v="135"/>
    <x v="112"/>
    <n v="36.6"/>
    <n v="135.555555556"/>
    <m/>
    <m/>
    <s v=""/>
  </r>
  <r>
    <n v="217"/>
    <x v="214"/>
    <d v="1978-01-10T00:00:00"/>
    <x v="3"/>
    <n v="16"/>
    <x v="68"/>
    <n v="9"/>
    <n v="112.5"/>
    <n v="76"/>
    <n v="134"/>
    <n v="10.578947368421053"/>
  </r>
  <r>
    <n v="218"/>
    <x v="215"/>
    <d v="1977-10-02T00:00:00"/>
    <x v="3"/>
    <n v="24"/>
    <x v="24"/>
    <n v="13"/>
    <n v="108.333333333"/>
    <n v="47"/>
    <n v="58"/>
    <n v="7.4042553191489366"/>
  </r>
  <r>
    <n v="219"/>
    <x v="216"/>
    <d v="1991-11-05T00:00:00"/>
    <x v="7"/>
    <n v="31"/>
    <x v="140"/>
    <n v="7.6"/>
    <n v="122.58064516100001"/>
    <n v="228"/>
    <n v="313"/>
    <n v="8.2368421052631575"/>
  </r>
  <r>
    <n v="220"/>
    <x v="217"/>
    <d v="1983-10-23T00:00:00"/>
    <x v="0"/>
    <n v="30"/>
    <x v="43"/>
    <n v="9"/>
    <n v="120"/>
    <n v="272"/>
    <n v="421"/>
    <n v="9.2867647058823533"/>
  </r>
  <r>
    <n v="221"/>
    <x v="218"/>
    <d v="1984-04-14T00:00:00"/>
    <x v="3"/>
    <n v="1633"/>
    <x v="141"/>
    <n v="41.448979592000001"/>
    <n v="124.372320882"/>
    <n v="701"/>
    <n v="847"/>
    <n v="7.2496433666191162"/>
  </r>
  <r>
    <n v="222"/>
    <x v="219"/>
    <d v="1990-04-29T00:00:00"/>
    <x v="4"/>
    <n v="387"/>
    <x v="142"/>
    <n v="18.821428570999998"/>
    <n v="136.17571059400001"/>
    <n v="1287"/>
    <n v="1849"/>
    <n v="8.6200466200466206"/>
  </r>
  <r>
    <n v="223"/>
    <x v="220"/>
    <d v="1978-10-24T00:00:00"/>
    <x v="4"/>
    <n v="305"/>
    <x v="143"/>
    <n v="24.529411764999999"/>
    <n v="136.72131147499999"/>
    <n v="369"/>
    <n v="562"/>
    <n v="9.1382113821138216"/>
  </r>
  <r>
    <n v="224"/>
    <x v="221"/>
    <d v="1985-11-04T00:00:00"/>
    <x v="4"/>
    <m/>
    <x v="12"/>
    <m/>
    <m/>
    <n v="61"/>
    <n v="66"/>
    <n v="6.4918032786885247"/>
  </r>
  <r>
    <n v="225"/>
    <x v="222"/>
    <m/>
    <x v="1"/>
    <n v="1"/>
    <x v="26"/>
    <n v="0"/>
    <n v="0"/>
    <n v="241"/>
    <n v="351"/>
    <n v="8.7385892116182582"/>
  </r>
  <r>
    <n v="226"/>
    <x v="223"/>
    <d v="1986-12-24T00:00:00"/>
    <x v="0"/>
    <n v="230"/>
    <x v="144"/>
    <n v="16.769230769"/>
    <n v="94.782608695999997"/>
    <n v="67"/>
    <n v="94"/>
    <n v="8.4179104477611943"/>
  </r>
  <r>
    <n v="227"/>
    <x v="224"/>
    <m/>
    <x v="1"/>
    <n v="83"/>
    <x v="145"/>
    <n v="12.083333333000001"/>
    <n v="174.69879518100001"/>
    <n v="367"/>
    <n v="512"/>
    <n v="8.3705722070844697"/>
  </r>
  <r>
    <n v="228"/>
    <x v="225"/>
    <m/>
    <x v="1"/>
    <m/>
    <x v="12"/>
    <m/>
    <m/>
    <n v="101"/>
    <n v="166"/>
    <n v="9.8613861386138613"/>
  </r>
  <r>
    <n v="229"/>
    <x v="226"/>
    <m/>
    <x v="1"/>
    <n v="24"/>
    <x v="29"/>
    <n v="5"/>
    <n v="83.333333332999999"/>
    <n v="180"/>
    <n v="261"/>
    <n v="8.6999999999999993"/>
  </r>
  <r>
    <n v="230"/>
    <x v="227"/>
    <m/>
    <x v="1"/>
    <n v="78"/>
    <x v="146"/>
    <n v="11.666666666999999"/>
    <n v="89.743589744000005"/>
    <n v="434"/>
    <n v="599"/>
    <n v="8.281105990783411"/>
  </r>
  <r>
    <n v="231"/>
    <x v="228"/>
    <d v="1984-12-20T00:00:00"/>
    <x v="7"/>
    <m/>
    <x v="12"/>
    <m/>
    <m/>
    <n v="51"/>
    <n v="91"/>
    <n v="10.705882352941176"/>
  </r>
  <r>
    <n v="232"/>
    <x v="229"/>
    <d v="1986-06-18T00:00:00"/>
    <x v="0"/>
    <n v="9"/>
    <x v="18"/>
    <m/>
    <n v="133.33333333300001"/>
    <n v="56"/>
    <n v="81"/>
    <n v="8.6785714285714288"/>
  </r>
  <r>
    <n v="233"/>
    <x v="230"/>
    <d v="1987-05-12T00:00:00"/>
    <x v="7"/>
    <n v="1879"/>
    <x v="147"/>
    <n v="27.176470588000001"/>
    <n v="147.525279404"/>
    <n v="1276"/>
    <n v="1785"/>
    <n v="8.3934169278996862"/>
  </r>
  <r>
    <n v="234"/>
    <x v="231"/>
    <d v="1988-06-30T00:00:00"/>
    <x v="7"/>
    <n v="9"/>
    <x v="36"/>
    <n v="10"/>
    <n v="111.111111111"/>
    <n v="52"/>
    <n v="80"/>
    <n v="9.2307692307692317"/>
  </r>
  <r>
    <n v="235"/>
    <x v="232"/>
    <d v="1982-01-13T00:00:00"/>
    <x v="9"/>
    <n v="78"/>
    <x v="148"/>
    <n v="32"/>
    <n v="164.10256410299999"/>
    <m/>
    <m/>
    <s v=""/>
  </r>
  <r>
    <n v="236"/>
    <x v="233"/>
    <d v="1991-03-10T00:00:00"/>
    <x v="0"/>
    <n v="5"/>
    <x v="15"/>
    <n v="3"/>
    <n v="60"/>
    <n v="177"/>
    <n v="248"/>
    <n v="8.4067796610169498"/>
  </r>
  <r>
    <n v="237"/>
    <x v="234"/>
    <d v="1987-11-08T00:00:00"/>
    <x v="0"/>
    <n v="17"/>
    <x v="18"/>
    <n v="12"/>
    <n v="70.588235294"/>
    <n v="213"/>
    <n v="323"/>
    <n v="9.0985915492957741"/>
  </r>
  <r>
    <n v="238"/>
    <x v="235"/>
    <d v="1986-02-15T00:00:00"/>
    <x v="0"/>
    <n v="50"/>
    <x v="149"/>
    <n v="10.199999999999999"/>
    <n v="102"/>
    <m/>
    <m/>
    <s v=""/>
  </r>
  <r>
    <n v="239"/>
    <x v="236"/>
    <d v="1994-04-13T00:00:00"/>
    <x v="0"/>
    <n v="21"/>
    <x v="109"/>
    <n v="8"/>
    <n v="114.285714286"/>
    <n v="224"/>
    <n v="350"/>
    <n v="9.375"/>
  </r>
  <r>
    <n v="240"/>
    <x v="237"/>
    <d v="1977-10-27T00:00:00"/>
    <x v="6"/>
    <n v="1387"/>
    <x v="150"/>
    <n v="24.449275362000002"/>
    <n v="121.629416006"/>
    <m/>
    <m/>
    <s v=""/>
  </r>
  <r>
    <n v="241"/>
    <x v="238"/>
    <d v="1985-06-01T00:00:00"/>
    <x v="0"/>
    <n v="2813"/>
    <x v="151"/>
    <n v="26.586956522000001"/>
    <n v="130.43014575199999"/>
    <m/>
    <m/>
    <s v=""/>
  </r>
  <r>
    <n v="243"/>
    <x v="239"/>
    <d v="1991-03-24T00:00:00"/>
    <x v="0"/>
    <n v="609"/>
    <x v="152"/>
    <n v="28.03125"/>
    <n v="147.29064039400001"/>
    <n v="968"/>
    <n v="1159"/>
    <n v="7.1838842975206605"/>
  </r>
  <r>
    <n v="244"/>
    <x v="240"/>
    <d v="1987-06-18T00:00:00"/>
    <x v="3"/>
    <n v="8"/>
    <x v="88"/>
    <n v="13"/>
    <n v="162.5"/>
    <n v="102"/>
    <n v="182"/>
    <n v="10.705882352941176"/>
  </r>
  <r>
    <n v="245"/>
    <x v="241"/>
    <d v="1989-02-16T00:00:00"/>
    <x v="7"/>
    <n v="68"/>
    <x v="89"/>
    <n v="12.888888889"/>
    <n v="170.58823529399999"/>
    <n v="600"/>
    <n v="789"/>
    <n v="7.89"/>
  </r>
  <r>
    <n v="246"/>
    <x v="242"/>
    <d v="1991-12-06T00:00:00"/>
    <x v="0"/>
    <n v="1137"/>
    <x v="153"/>
    <n v="24.016393442999998"/>
    <n v="128.84784520700001"/>
    <m/>
    <m/>
    <s v=""/>
  </r>
  <r>
    <n v="247"/>
    <x v="243"/>
    <d v="1992-04-18T00:00:00"/>
    <x v="0"/>
    <n v="1428"/>
    <x v="154"/>
    <n v="40.571428570999998"/>
    <n v="139.215686275"/>
    <m/>
    <m/>
    <s v=""/>
  </r>
  <r>
    <n v="248"/>
    <x v="244"/>
    <m/>
    <x v="1"/>
    <m/>
    <x v="12"/>
    <m/>
    <m/>
    <n v="38"/>
    <n v="77"/>
    <n v="12.157894736842106"/>
  </r>
  <r>
    <n v="249"/>
    <x v="245"/>
    <d v="1985-03-26T00:00:00"/>
    <x v="0"/>
    <n v="851"/>
    <x v="155"/>
    <n v="23.630434782999998"/>
    <n v="127.732079906"/>
    <m/>
    <m/>
    <s v=""/>
  </r>
  <r>
    <n v="250"/>
    <x v="246"/>
    <d v="1982-07-22T00:00:00"/>
    <x v="6"/>
    <n v="2"/>
    <x v="16"/>
    <m/>
    <n v="250"/>
    <n v="107"/>
    <n v="122"/>
    <n v="6.8411214953271031"/>
  </r>
  <r>
    <n v="251"/>
    <x v="247"/>
    <d v="1988-12-20T00:00:00"/>
    <x v="0"/>
    <n v="3"/>
    <x v="13"/>
    <n v="2"/>
    <n v="66.666666667000001"/>
    <n v="222"/>
    <n v="291"/>
    <n v="7.8648648648648649"/>
  </r>
  <r>
    <n v="252"/>
    <x v="248"/>
    <d v="1980-06-27T00:00:00"/>
    <x v="3"/>
    <n v="740"/>
    <x v="156"/>
    <n v="35.75"/>
    <n v="135.27027027"/>
    <n v="180"/>
    <n v="218"/>
    <n v="7.2666666666666666"/>
  </r>
  <r>
    <n v="253"/>
    <x v="249"/>
    <d v="1990-08-08T00:00:00"/>
    <x v="8"/>
    <n v="964"/>
    <x v="157"/>
    <n v="38.5"/>
    <n v="135.788381743"/>
    <n v="6"/>
    <n v="7"/>
    <n v="7"/>
  </r>
  <r>
    <n v="254"/>
    <x v="250"/>
    <d v="1994-12-14T00:00:00"/>
    <x v="0"/>
    <n v="54"/>
    <x v="158"/>
    <n v="11.25"/>
    <n v="83.333333332999999"/>
    <n v="838"/>
    <n v="1173"/>
    <n v="8.39856801909308"/>
  </r>
  <r>
    <n v="255"/>
    <x v="251"/>
    <d v="1987-10-23T00:00:00"/>
    <x v="0"/>
    <n v="270"/>
    <x v="159"/>
    <n v="15.095238094999999"/>
    <n v="117.40740740699999"/>
    <n v="1121"/>
    <n v="1482"/>
    <n v="7.9322033898305078"/>
  </r>
  <r>
    <n v="256"/>
    <x v="252"/>
    <d v="1991-02-12T00:00:00"/>
    <x v="4"/>
    <n v="39"/>
    <x v="43"/>
    <n v="12"/>
    <n v="92.307692308"/>
    <n v="326"/>
    <n v="450"/>
    <n v="8.2822085889570545"/>
  </r>
  <r>
    <n v="257"/>
    <x v="253"/>
    <d v="1982-12-03T00:00:00"/>
    <x v="0"/>
    <n v="2"/>
    <x v="26"/>
    <m/>
    <n v="0"/>
    <n v="45"/>
    <n v="76"/>
    <n v="10.133333333333333"/>
  </r>
  <r>
    <n v="258"/>
    <x v="254"/>
    <d v="1981-09-27T00:00:00"/>
    <x v="0"/>
    <n v="47"/>
    <x v="43"/>
    <n v="5.1428571429999996"/>
    <n v="76.595744680999999"/>
    <n v="1574"/>
    <n v="2083"/>
    <n v="7.9402795425667092"/>
  </r>
  <r>
    <n v="259"/>
    <x v="255"/>
    <m/>
    <x v="1"/>
    <m/>
    <x v="12"/>
    <m/>
    <m/>
    <n v="107"/>
    <n v="192"/>
    <n v="10.766355140186917"/>
  </r>
  <r>
    <n v="260"/>
    <x v="256"/>
    <m/>
    <x v="1"/>
    <n v="47"/>
    <x v="100"/>
    <n v="23.666666667000001"/>
    <n v="151.063829787"/>
    <n v="6"/>
    <n v="13"/>
    <n v="13"/>
  </r>
  <r>
    <n v="261"/>
    <x v="257"/>
    <m/>
    <x v="1"/>
    <m/>
    <x v="12"/>
    <m/>
    <m/>
    <n v="163"/>
    <n v="175"/>
    <n v="6.4417177914110431"/>
  </r>
  <r>
    <n v="262"/>
    <x v="258"/>
    <m/>
    <x v="1"/>
    <n v="3"/>
    <x v="66"/>
    <n v="1"/>
    <n v="33.333333332999999"/>
    <n v="154"/>
    <n v="235"/>
    <n v="9.1558441558441555"/>
  </r>
  <r>
    <n v="263"/>
    <x v="259"/>
    <d v="1981-04-23T00:00:00"/>
    <x v="4"/>
    <n v="34"/>
    <x v="9"/>
    <n v="11.333333333000001"/>
    <n v="100"/>
    <m/>
    <m/>
    <s v=""/>
  </r>
  <r>
    <n v="264"/>
    <x v="260"/>
    <d v="1975-11-17T00:00:00"/>
    <x v="4"/>
    <n v="68"/>
    <x v="160"/>
    <n v="27"/>
    <n v="119.11764705900001"/>
    <n v="7"/>
    <n v="6"/>
    <n v="5.1428571428571423"/>
  </r>
  <r>
    <n v="265"/>
    <x v="261"/>
    <d v="1984-09-28T00:00:00"/>
    <x v="4"/>
    <n v="244"/>
    <x v="161"/>
    <n v="27.454545455000002"/>
    <n v="123.770491803"/>
    <m/>
    <m/>
    <s v=""/>
  </r>
  <r>
    <n v="266"/>
    <x v="262"/>
    <m/>
    <x v="1"/>
    <n v="1"/>
    <x v="66"/>
    <m/>
    <n v="100"/>
    <n v="87"/>
    <n v="96"/>
    <n v="6.6206896551724137"/>
  </r>
  <r>
    <n v="267"/>
    <x v="263"/>
    <d v="1985-03-07T00:00:00"/>
    <x v="2"/>
    <n v="60"/>
    <x v="137"/>
    <n v="26.5"/>
    <n v="176.66666666699999"/>
    <n v="75"/>
    <n v="125"/>
    <n v="10"/>
  </r>
  <r>
    <n v="268"/>
    <x v="264"/>
    <d v="1985-01-25T00:00:00"/>
    <x v="7"/>
    <n v="851"/>
    <x v="162"/>
    <n v="39.962962963000003"/>
    <n v="126.792009401"/>
    <n v="18"/>
    <n v="34"/>
    <n v="11.333333333333334"/>
  </r>
  <r>
    <n v="269"/>
    <x v="265"/>
    <d v="1979-12-14T00:00:00"/>
    <x v="6"/>
    <n v="25"/>
    <x v="72"/>
    <n v="20"/>
    <n v="160"/>
    <n v="6"/>
    <n v="21"/>
    <n v="21"/>
  </r>
  <r>
    <n v="270"/>
    <x v="266"/>
    <d v="1981-05-06T00:00:00"/>
    <x v="0"/>
    <n v="346"/>
    <x v="163"/>
    <n v="13.965517241000001"/>
    <n v="117.052023121"/>
    <n v="326"/>
    <n v="458"/>
    <n v="8.4294478527607364"/>
  </r>
  <r>
    <n v="271"/>
    <x v="267"/>
    <d v="1984-03-08T00:00:00"/>
    <x v="8"/>
    <n v="818"/>
    <x v="164"/>
    <n v="24.804878048999999"/>
    <n v="124.327628362"/>
    <n v="13"/>
    <n v="24"/>
    <n v="11.076923076923078"/>
  </r>
  <r>
    <n v="272"/>
    <x v="268"/>
    <m/>
    <x v="1"/>
    <n v="177"/>
    <x v="161"/>
    <n v="30.2"/>
    <n v="170.621468927"/>
    <n v="233"/>
    <n v="272"/>
    <n v="7.0042918454935617"/>
  </r>
  <r>
    <n v="273"/>
    <x v="269"/>
    <d v="1990-09-08T00:00:00"/>
    <x v="0"/>
    <n v="8"/>
    <x v="1"/>
    <n v="1.3333333329999999"/>
    <n v="50"/>
    <n v="432"/>
    <n v="570"/>
    <n v="7.916666666666667"/>
  </r>
  <r>
    <n v="274"/>
    <x v="270"/>
    <d v="1990-10-13T00:00:00"/>
    <x v="3"/>
    <n v="2"/>
    <x v="66"/>
    <n v="1"/>
    <n v="50"/>
    <n v="116"/>
    <n v="171"/>
    <n v="8.8448275862068968"/>
  </r>
  <r>
    <n v="275"/>
    <x v="271"/>
    <d v="1980-12-01T00:00:00"/>
    <x v="0"/>
    <n v="249"/>
    <x v="165"/>
    <n v="16.1875"/>
    <n v="104.016064257"/>
    <m/>
    <m/>
    <s v=""/>
  </r>
  <r>
    <n v="276"/>
    <x v="272"/>
    <d v="1976-09-11T00:00:00"/>
    <x v="0"/>
    <n v="108"/>
    <x v="166"/>
    <n v="16.142857143000001"/>
    <n v="104.62962963"/>
    <n v="1182"/>
    <n v="1418"/>
    <n v="7.1979695431472077"/>
  </r>
  <r>
    <n v="277"/>
    <x v="273"/>
    <d v="1980-07-04T00:00:00"/>
    <x v="4"/>
    <n v="77"/>
    <x v="167"/>
    <n v="18.25"/>
    <n v="94.805194804999999"/>
    <m/>
    <m/>
    <s v=""/>
  </r>
  <r>
    <n v="278"/>
    <x v="274"/>
    <m/>
    <x v="1"/>
    <n v="24"/>
    <x v="168"/>
    <n v="14"/>
    <n v="116.666666667"/>
    <n v="18"/>
    <n v="27"/>
    <n v="9"/>
  </r>
  <r>
    <n v="279"/>
    <x v="275"/>
    <d v="1979-10-12T00:00:00"/>
    <x v="0"/>
    <n v="469"/>
    <x v="169"/>
    <n v="21.416666667000001"/>
    <n v="109.59488272900001"/>
    <n v="42"/>
    <n v="42"/>
    <n v="6"/>
  </r>
  <r>
    <n v="280"/>
    <x v="276"/>
    <m/>
    <x v="1"/>
    <n v="29"/>
    <x v="170"/>
    <n v="10"/>
    <n v="103.448275862"/>
    <n v="305"/>
    <n v="448"/>
    <n v="8.8131147540983594"/>
  </r>
  <r>
    <n v="281"/>
    <x v="277"/>
    <d v="1984-10-06T00:00:00"/>
    <x v="3"/>
    <n v="90"/>
    <x v="171"/>
    <n v="11.454545455"/>
    <n v="140"/>
    <n v="1699"/>
    <n v="2136"/>
    <n v="7.5432607416127126"/>
  </r>
  <r>
    <n v="282"/>
    <x v="278"/>
    <d v="1972-04-17T00:00:00"/>
    <x v="6"/>
    <n v="29"/>
    <x v="29"/>
    <n v="3.3333333330000001"/>
    <n v="68.965517241000001"/>
    <n v="1581"/>
    <n v="1765"/>
    <n v="6.6982922201138519"/>
  </r>
  <r>
    <n v="283"/>
    <x v="279"/>
    <d v="1977-07-06T00:00:00"/>
    <x v="3"/>
    <n v="18"/>
    <x v="64"/>
    <n v="11"/>
    <n v="61.111111111"/>
    <n v="213"/>
    <n v="257"/>
    <n v="7.23943661971831"/>
  </r>
  <r>
    <n v="284"/>
    <x v="280"/>
    <d v="1985-10-25T00:00:00"/>
    <x v="0"/>
    <n v="69"/>
    <x v="125"/>
    <n v="11"/>
    <n v="79.710144928000005"/>
    <m/>
    <m/>
    <s v=""/>
  </r>
  <r>
    <n v="285"/>
    <x v="281"/>
    <m/>
    <x v="1"/>
    <n v="23"/>
    <x v="87"/>
    <n v="33"/>
    <n v="143.47826087000001"/>
    <n v="88"/>
    <n v="105"/>
    <n v="7.1590909090909092"/>
  </r>
  <r>
    <n v="286"/>
    <x v="282"/>
    <m/>
    <x v="1"/>
    <n v="11"/>
    <x v="18"/>
    <n v="6"/>
    <n v="109.090909091"/>
    <n v="377"/>
    <n v="513"/>
    <n v="8.1644562334217508"/>
  </r>
  <r>
    <n v="287"/>
    <x v="283"/>
    <d v="1984-04-01T00:00:00"/>
    <x v="0"/>
    <n v="2104"/>
    <x v="172"/>
    <n v="27.838709677000001"/>
    <n v="123.051330798"/>
    <n v="37"/>
    <n v="49"/>
    <n v="7.9459459459459456"/>
  </r>
  <r>
    <n v="288"/>
    <x v="284"/>
    <d v="1993-07-18T00:00:00"/>
    <x v="0"/>
    <n v="767"/>
    <x v="173"/>
    <n v="24.119047619"/>
    <n v="132.073011734"/>
    <m/>
    <m/>
    <s v=""/>
  </r>
  <r>
    <n v="289"/>
    <x v="285"/>
    <m/>
    <x v="1"/>
    <n v="3"/>
    <x v="66"/>
    <n v="1"/>
    <n v="33.333333332999999"/>
    <n v="25"/>
    <n v="52"/>
    <n v="12.479999999999999"/>
  </r>
  <r>
    <n v="290"/>
    <x v="286"/>
    <d v="1991-02-16T00:00:00"/>
    <x v="0"/>
    <n v="988"/>
    <x v="174"/>
    <n v="18.940298507000001"/>
    <n v="128.44129554700001"/>
    <m/>
    <m/>
    <s v=""/>
  </r>
  <r>
    <n v="291"/>
    <x v="287"/>
    <d v="1980-04-22T00:00:00"/>
    <x v="0"/>
    <n v="20"/>
    <x v="109"/>
    <n v="12"/>
    <n v="120"/>
    <n v="30"/>
    <n v="52"/>
    <n v="10.4"/>
  </r>
  <r>
    <n v="292"/>
    <x v="288"/>
    <d v="1990-01-30T00:00:00"/>
    <x v="4"/>
    <n v="98"/>
    <x v="175"/>
    <n v="16"/>
    <n v="97.959183672999998"/>
    <n v="612"/>
    <n v="725"/>
    <n v="7.1078431372549016"/>
  </r>
  <r>
    <n v="293"/>
    <x v="289"/>
    <d v="1991-12-18T00:00:00"/>
    <x v="0"/>
    <n v="1227"/>
    <x v="176"/>
    <n v="21.61971831"/>
    <n v="125.101874491"/>
    <n v="12"/>
    <n v="26"/>
    <n v="13"/>
  </r>
  <r>
    <n v="294"/>
    <x v="290"/>
    <d v="1983-10-05T00:00:00"/>
    <x v="5"/>
    <n v="2"/>
    <x v="13"/>
    <m/>
    <n v="100"/>
    <n v="28"/>
    <n v="59"/>
    <n v="12.642857142857142"/>
  </r>
  <r>
    <n v="295"/>
    <x v="291"/>
    <d v="1988-04-12T00:00:00"/>
    <x v="0"/>
    <m/>
    <x v="12"/>
    <m/>
    <m/>
    <n v="19"/>
    <n v="33"/>
    <n v="10.421052631578949"/>
  </r>
  <r>
    <n v="296"/>
    <x v="292"/>
    <d v="1987-02-01T00:00:00"/>
    <x v="4"/>
    <n v="756"/>
    <x v="177"/>
    <n v="27.685714286"/>
    <n v="128.17460317499999"/>
    <n v="918"/>
    <n v="1255"/>
    <n v="8.2026143790849666"/>
  </r>
  <r>
    <n v="297"/>
    <x v="293"/>
    <d v="1990-09-12T00:00:00"/>
    <x v="0"/>
    <n v="127"/>
    <x v="63"/>
    <n v="17.857142856999999"/>
    <n v="98.425196850000006"/>
    <m/>
    <m/>
    <s v=""/>
  </r>
  <r>
    <n v="298"/>
    <x v="294"/>
    <d v="1984-02-09T00:00:00"/>
    <x v="0"/>
    <n v="208"/>
    <x v="178"/>
    <n v="15.8"/>
    <n v="113.942307692"/>
    <m/>
    <m/>
    <s v=""/>
  </r>
  <r>
    <n v="299"/>
    <x v="295"/>
    <d v="1990-08-17T00:00:00"/>
    <x v="6"/>
    <n v="13"/>
    <x v="110"/>
    <n v="7"/>
    <n v="107.692307692"/>
    <m/>
    <m/>
    <s v=""/>
  </r>
  <r>
    <n v="300"/>
    <x v="296"/>
    <d v="1975-05-27T00:00:00"/>
    <x v="4"/>
    <n v="1608"/>
    <x v="179"/>
    <n v="38.019230769000004"/>
    <n v="122.94776119399999"/>
    <m/>
    <m/>
    <s v=""/>
  </r>
  <r>
    <n v="301"/>
    <x v="297"/>
    <d v="1984-09-07T00:00:00"/>
    <x v="0"/>
    <n v="122"/>
    <x v="180"/>
    <n v="17.7"/>
    <n v="145.08196721300001"/>
    <n v="441"/>
    <n v="532"/>
    <n v="7.2380952380952381"/>
  </r>
  <r>
    <n v="302"/>
    <x v="298"/>
    <d v="1981-11-02T00:00:00"/>
    <x v="4"/>
    <n v="161"/>
    <x v="181"/>
    <n v="12"/>
    <n v="104.347826087"/>
    <n v="1301"/>
    <n v="1749"/>
    <n v="8.066102997694081"/>
  </r>
  <r>
    <n v="303"/>
    <x v="299"/>
    <d v="1990-03-29T00:00:00"/>
    <x v="4"/>
    <m/>
    <x v="12"/>
    <m/>
    <m/>
    <n v="25"/>
    <n v="62"/>
    <n v="14.879999999999999"/>
  </r>
  <r>
    <n v="304"/>
    <x v="300"/>
    <d v="1974-05-28T00:00:00"/>
    <x v="9"/>
    <n v="81"/>
    <x v="182"/>
    <n v="13"/>
    <n v="144.444444444"/>
    <m/>
    <m/>
    <s v=""/>
  </r>
  <r>
    <n v="305"/>
    <x v="301"/>
    <d v="1981-04-02T00:00:00"/>
    <x v="4"/>
    <n v="94"/>
    <x v="81"/>
    <n v="19.600000000000001"/>
    <n v="104.255319149"/>
    <n v="66"/>
    <n v="72"/>
    <n v="6.5454545454545459"/>
  </r>
  <r>
    <n v="306"/>
    <x v="302"/>
    <d v="1986-09-30T00:00:00"/>
    <x v="8"/>
    <n v="196"/>
    <x v="183"/>
    <n v="22.583333332999999"/>
    <n v="138.265306122"/>
    <m/>
    <m/>
    <s v=""/>
  </r>
  <r>
    <n v="307"/>
    <x v="303"/>
    <m/>
    <x v="1"/>
    <m/>
    <x v="12"/>
    <m/>
    <m/>
    <n v="31"/>
    <n v="71"/>
    <n v="13.741935483870966"/>
  </r>
  <r>
    <n v="308"/>
    <x v="304"/>
    <d v="1980-02-12T00:00:00"/>
    <x v="2"/>
    <n v="193"/>
    <x v="184"/>
    <n v="27.8"/>
    <n v="144.04145077699999"/>
    <m/>
    <m/>
    <s v=""/>
  </r>
  <r>
    <n v="309"/>
    <x v="305"/>
    <d v="1986-06-11T00:00:00"/>
    <x v="8"/>
    <n v="70"/>
    <x v="127"/>
    <n v="8"/>
    <n v="125.714285714"/>
    <n v="1346"/>
    <n v="1869"/>
    <n v="8.3313521545319453"/>
  </r>
  <r>
    <n v="310"/>
    <x v="306"/>
    <d v="1989-09-10T00:00:00"/>
    <x v="0"/>
    <n v="2352"/>
    <x v="185"/>
    <n v="30.052631579"/>
    <n v="121.386054422"/>
    <m/>
    <m/>
    <s v=""/>
  </r>
  <r>
    <n v="311"/>
    <x v="307"/>
    <d v="1985-11-14T00:00:00"/>
    <x v="0"/>
    <n v="1446"/>
    <x v="186"/>
    <n v="28.266666666999999"/>
    <n v="117.28907330600001"/>
    <n v="45"/>
    <n v="86"/>
    <n v="11.466666666666667"/>
  </r>
  <r>
    <n v="312"/>
    <x v="308"/>
    <d v="1971-10-29T00:00:00"/>
    <x v="4"/>
    <n v="802"/>
    <x v="187"/>
    <n v="41"/>
    <n v="138.029925187"/>
    <m/>
    <m/>
    <s v=""/>
  </r>
  <r>
    <n v="313"/>
    <x v="309"/>
    <d v="1983-07-12T00:00:00"/>
    <x v="0"/>
    <n v="41"/>
    <x v="54"/>
    <n v="7.8"/>
    <n v="95.12195122"/>
    <n v="1382"/>
    <n v="1733"/>
    <n v="7.5238784370477569"/>
  </r>
  <r>
    <n v="314"/>
    <x v="310"/>
    <d v="1988-09-18T00:00:00"/>
    <x v="0"/>
    <n v="117"/>
    <x v="25"/>
    <n v="8.7857142859999993"/>
    <n v="105.128205128"/>
    <n v="1770"/>
    <n v="2457"/>
    <n v="8.3288135593220343"/>
  </r>
  <r>
    <n v="315"/>
    <x v="311"/>
    <d v="1981-02-05T00:00:00"/>
    <x v="7"/>
    <n v="171"/>
    <x v="188"/>
    <n v="13.416666666999999"/>
    <n v="94.152046784000007"/>
    <n v="219"/>
    <n v="285"/>
    <n v="7.8082191780821919"/>
  </r>
  <r>
    <n v="316"/>
    <x v="312"/>
    <d v="1979-03-20T00:00:00"/>
    <x v="3"/>
    <n v="132"/>
    <x v="189"/>
    <n v="55.666666667000001"/>
    <n v="126.515151515"/>
    <m/>
    <m/>
    <s v=""/>
  </r>
  <r>
    <n v="317"/>
    <x v="313"/>
    <d v="1984-07-07T00:00:00"/>
    <x v="5"/>
    <n v="10"/>
    <x v="13"/>
    <n v="2"/>
    <n v="20"/>
    <m/>
    <m/>
    <s v=""/>
  </r>
  <r>
    <n v="318"/>
    <x v="314"/>
    <d v="1982-12-20T00:00:00"/>
    <x v="9"/>
    <n v="6"/>
    <x v="15"/>
    <n v="1.5"/>
    <n v="50"/>
    <n v="199"/>
    <n v="307"/>
    <n v="9.2562814070351767"/>
  </r>
  <r>
    <n v="319"/>
    <x v="315"/>
    <d v="1980-10-17T00:00:00"/>
    <x v="9"/>
    <n v="82"/>
    <x v="190"/>
    <n v="8"/>
    <n v="78.048780488000006"/>
    <n v="63"/>
    <n v="71"/>
    <n v="6.7619047619047619"/>
  </r>
  <r>
    <n v="320"/>
    <x v="316"/>
    <m/>
    <x v="1"/>
    <n v="91"/>
    <x v="191"/>
    <n v="17.75"/>
    <n v="156.043956044"/>
    <n v="271"/>
    <n v="314"/>
    <n v="6.9520295202952029"/>
  </r>
  <r>
    <n v="321"/>
    <x v="317"/>
    <d v="1990-09-03T00:00:00"/>
    <x v="0"/>
    <n v="52"/>
    <x v="132"/>
    <n v="6"/>
    <n v="103.84615384600001"/>
    <n v="1075"/>
    <n v="1599"/>
    <n v="8.924651162790699"/>
  </r>
  <r>
    <n v="322"/>
    <x v="318"/>
    <m/>
    <x v="1"/>
    <n v="36"/>
    <x v="61"/>
    <n v="10.666666666999999"/>
    <n v="88.888888889"/>
    <n v="584"/>
    <n v="900"/>
    <n v="9.2465753424657535"/>
  </r>
  <r>
    <n v="323"/>
    <x v="319"/>
    <d v="1989-08-16T00:00:00"/>
    <x v="4"/>
    <n v="362"/>
    <x v="192"/>
    <n v="31.733333333000001"/>
    <n v="131.491712707"/>
    <n v="378"/>
    <n v="588"/>
    <n v="9.3333333333333339"/>
  </r>
  <r>
    <n v="324"/>
    <x v="320"/>
    <d v="1991-10-20T00:00:00"/>
    <x v="4"/>
    <n v="196"/>
    <x v="193"/>
    <n v="18.75"/>
    <n v="114.795918367"/>
    <n v="327"/>
    <n v="420"/>
    <n v="7.7064220183486238"/>
  </r>
  <r>
    <n v="325"/>
    <x v="321"/>
    <d v="1984-12-27T00:00:00"/>
    <x v="0"/>
    <n v="697"/>
    <x v="194"/>
    <n v="21.567567568000001"/>
    <n v="114.49067431899999"/>
    <m/>
    <m/>
    <s v=""/>
  </r>
  <r>
    <n v="326"/>
    <x v="322"/>
    <d v="1981-07-07T00:00:00"/>
    <x v="0"/>
    <n v="3206"/>
    <x v="195"/>
    <n v="37.711864407"/>
    <n v="138.80224578900001"/>
    <m/>
    <m/>
    <s v=""/>
  </r>
  <r>
    <n v="327"/>
    <x v="323"/>
    <d v="1984-01-04T00:00:00"/>
    <x v="0"/>
    <n v="70"/>
    <x v="196"/>
    <n v="11"/>
    <n v="141.42857142899999"/>
    <n v="925"/>
    <n v="1317"/>
    <n v="8.5427027027027034"/>
  </r>
  <r>
    <n v="328"/>
    <x v="324"/>
    <d v="1987-12-26T00:00:00"/>
    <x v="4"/>
    <n v="33"/>
    <x v="114"/>
    <n v="7.3333333329999997"/>
    <n v="66.666666667000001"/>
    <m/>
    <m/>
    <s v=""/>
  </r>
  <r>
    <n v="329"/>
    <x v="325"/>
    <d v="1995-09-06T00:00:00"/>
    <x v="5"/>
    <n v="3"/>
    <x v="66"/>
    <n v="1"/>
    <n v="33.333333332999999"/>
    <n v="560"/>
    <n v="697"/>
    <n v="7.4678571428571434"/>
  </r>
  <r>
    <n v="330"/>
    <x v="326"/>
    <d v="1976-12-03T00:00:00"/>
    <x v="3"/>
    <n v="308"/>
    <x v="197"/>
    <n v="26.266666666999999"/>
    <n v="127.922077922"/>
    <m/>
    <m/>
    <s v=""/>
  </r>
  <r>
    <n v="331"/>
    <x v="327"/>
    <m/>
    <x v="1"/>
    <n v="16"/>
    <x v="35"/>
    <n v="7"/>
    <n v="43.75"/>
    <m/>
    <m/>
    <s v=""/>
  </r>
  <r>
    <n v="332"/>
    <x v="328"/>
    <m/>
    <x v="1"/>
    <n v="106"/>
    <x v="94"/>
    <n v="28.333333332999999"/>
    <n v="160.377358491"/>
    <m/>
    <m/>
    <s v=""/>
  </r>
  <r>
    <n v="333"/>
    <x v="329"/>
    <d v="1993-12-27T00:00:00"/>
    <x v="0"/>
    <n v="808"/>
    <x v="198"/>
    <n v="27.324999999999999"/>
    <n v="135.27227722800001"/>
    <n v="94"/>
    <n v="124"/>
    <n v="7.9148936170212769"/>
  </r>
  <r>
    <n v="334"/>
    <x v="330"/>
    <d v="1988-10-28T00:00:00"/>
    <x v="0"/>
    <n v="144"/>
    <x v="191"/>
    <n v="11.833333333000001"/>
    <n v="98.611111111"/>
    <n v="300"/>
    <n v="434"/>
    <n v="8.68"/>
  </r>
  <r>
    <n v="335"/>
    <x v="331"/>
    <m/>
    <x v="1"/>
    <m/>
    <x v="12"/>
    <m/>
    <m/>
    <n v="25"/>
    <n v="18"/>
    <n v="4.3199999999999994"/>
  </r>
  <r>
    <n v="336"/>
    <x v="332"/>
    <d v="1978-10-06T00:00:00"/>
    <x v="0"/>
    <n v="13"/>
    <x v="26"/>
    <n v="0"/>
    <n v="0"/>
    <n v="57"/>
    <n v="79"/>
    <n v="8.3157894736842106"/>
  </r>
  <r>
    <n v="337"/>
    <x v="333"/>
    <m/>
    <x v="1"/>
    <n v="118"/>
    <x v="101"/>
    <n v="24.2"/>
    <n v="102.54237288100001"/>
    <m/>
    <m/>
    <s v=""/>
  </r>
  <r>
    <n v="338"/>
    <x v="334"/>
    <d v="1991-12-21T00:00:00"/>
    <x v="4"/>
    <n v="21"/>
    <x v="29"/>
    <n v="6.6666666670000003"/>
    <n v="95.238095238"/>
    <m/>
    <m/>
    <s v=""/>
  </r>
  <r>
    <n v="339"/>
    <x v="335"/>
    <d v="1982-11-11T00:00:00"/>
    <x v="4"/>
    <n v="1"/>
    <x v="66"/>
    <m/>
    <n v="100"/>
    <n v="18"/>
    <n v="20"/>
    <n v="6.666666666666667"/>
  </r>
  <r>
    <n v="341"/>
    <x v="336"/>
    <d v="1980-09-01T00:00:00"/>
    <x v="8"/>
    <n v="21"/>
    <x v="24"/>
    <n v="8.6666666669999994"/>
    <n v="123.80952381"/>
    <n v="30"/>
    <n v="35"/>
    <n v="7"/>
  </r>
  <r>
    <n v="342"/>
    <x v="337"/>
    <d v="1989-04-03T00:00:00"/>
    <x v="6"/>
    <n v="305"/>
    <x v="199"/>
    <n v="17.666666667000001"/>
    <n v="139.016393443"/>
    <n v="715"/>
    <n v="1031"/>
    <n v="8.651748251748252"/>
  </r>
  <r>
    <n v="343"/>
    <x v="338"/>
    <d v="1987-10-11T00:00:00"/>
    <x v="4"/>
    <n v="50"/>
    <x v="200"/>
    <n v="7.4285714289999998"/>
    <n v="104"/>
    <n v="586"/>
    <n v="739"/>
    <n v="7.5665529010238908"/>
  </r>
  <r>
    <n v="344"/>
    <x v="339"/>
    <d v="1994-11-09T00:00:00"/>
    <x v="0"/>
    <n v="31"/>
    <x v="71"/>
    <n v="11.5"/>
    <n v="74.193548387000007"/>
    <m/>
    <m/>
    <s v=""/>
  </r>
  <r>
    <n v="345"/>
    <x v="340"/>
    <d v="1983-07-20T00:00:00"/>
    <x v="0"/>
    <n v="1308"/>
    <x v="201"/>
    <n v="21.013513514"/>
    <n v="118.88379204899999"/>
    <m/>
    <m/>
    <s v=""/>
  </r>
  <r>
    <n v="346"/>
    <x v="341"/>
    <m/>
    <x v="1"/>
    <m/>
    <x v="12"/>
    <m/>
    <m/>
    <n v="63"/>
    <n v="94"/>
    <n v="8.9523809523809526"/>
  </r>
  <r>
    <n v="347"/>
    <x v="342"/>
    <d v="1978-10-22T00:00:00"/>
    <x v="2"/>
    <n v="386"/>
    <x v="202"/>
    <n v="38.923076923000004"/>
    <n v="131.088082902"/>
    <m/>
    <m/>
    <s v=""/>
  </r>
  <r>
    <n v="348"/>
    <x v="343"/>
    <d v="1982-06-01T00:00:00"/>
    <x v="0"/>
    <m/>
    <x v="12"/>
    <m/>
    <m/>
    <n v="132"/>
    <n v="241"/>
    <n v="10.954545454545455"/>
  </r>
  <r>
    <n v="349"/>
    <x v="344"/>
    <d v="1986-07-19T00:00:00"/>
    <x v="0"/>
    <n v="14"/>
    <x v="16"/>
    <n v="1.6666666670000001"/>
    <n v="35.714285713999999"/>
    <n v="774"/>
    <n v="1046"/>
    <n v="8.1085271317829459"/>
  </r>
  <r>
    <n v="350"/>
    <x v="345"/>
    <m/>
    <x v="1"/>
    <n v="6"/>
    <x v="82"/>
    <n v="8"/>
    <n v="133.33333333300001"/>
    <m/>
    <m/>
    <s v=""/>
  </r>
  <r>
    <n v="352"/>
    <x v="346"/>
    <d v="1984-11-19T00:00:00"/>
    <x v="0"/>
    <n v="138"/>
    <x v="90"/>
    <n v="10.583333333000001"/>
    <n v="92.028985507000002"/>
    <m/>
    <m/>
    <s v=""/>
  </r>
  <r>
    <n v="353"/>
    <x v="347"/>
    <m/>
    <x v="1"/>
    <n v="7"/>
    <x v="66"/>
    <n v="1"/>
    <n v="14.285714285999999"/>
    <n v="437"/>
    <n v="685"/>
    <n v="9.4050343249427932"/>
  </r>
  <r>
    <n v="354"/>
    <x v="348"/>
    <d v="1986-10-02T00:00:00"/>
    <x v="0"/>
    <n v="314"/>
    <x v="203"/>
    <n v="10"/>
    <n v="108.280254777"/>
    <n v="2637"/>
    <n v="3342"/>
    <n v="7.6040955631399321"/>
  </r>
  <r>
    <n v="355"/>
    <x v="349"/>
    <d v="1993-01-06T00:00:00"/>
    <x v="0"/>
    <n v="288"/>
    <x v="204"/>
    <n v="14.038461538"/>
    <n v="126.736111111"/>
    <n v="734"/>
    <n v="959"/>
    <n v="7.8392370572207088"/>
  </r>
  <r>
    <n v="356"/>
    <x v="350"/>
    <d v="1985-05-30T00:00:00"/>
    <x v="0"/>
    <n v="2"/>
    <x v="66"/>
    <m/>
    <n v="50"/>
    <n v="159"/>
    <n v="226"/>
    <n v="8.5283018867924536"/>
  </r>
  <r>
    <n v="357"/>
    <x v="351"/>
    <d v="1985-05-22T00:00:00"/>
    <x v="0"/>
    <m/>
    <x v="12"/>
    <m/>
    <m/>
    <n v="6"/>
    <n v="18"/>
    <n v="18"/>
  </r>
  <r>
    <n v="358"/>
    <x v="352"/>
    <m/>
    <x v="1"/>
    <n v="24"/>
    <x v="10"/>
    <n v="19"/>
    <n v="79.166666667000001"/>
    <n v="24"/>
    <n v="56"/>
    <n v="14"/>
  </r>
  <r>
    <n v="359"/>
    <x v="353"/>
    <m/>
    <x v="1"/>
    <n v="1"/>
    <x v="26"/>
    <m/>
    <n v="0"/>
    <n v="33"/>
    <n v="60"/>
    <n v="10.909090909090908"/>
  </r>
  <r>
    <n v="360"/>
    <x v="354"/>
    <d v="1985-08-21T00:00:00"/>
    <x v="0"/>
    <n v="13"/>
    <x v="10"/>
    <m/>
    <n v="146.15384615400001"/>
    <n v="107"/>
    <n v="152"/>
    <n v="8.5233644859813094"/>
  </r>
  <r>
    <n v="361"/>
    <x v="355"/>
    <m/>
    <x v="1"/>
    <n v="423"/>
    <x v="136"/>
    <n v="25.166666667000001"/>
    <n v="142.789598109"/>
    <m/>
    <m/>
    <s v=""/>
  </r>
  <r>
    <n v="362"/>
    <x v="356"/>
    <d v="1989-10-15T00:00:00"/>
    <x v="0"/>
    <m/>
    <x v="12"/>
    <m/>
    <m/>
    <n v="107"/>
    <n v="154"/>
    <n v="8.6355140186915893"/>
  </r>
  <r>
    <n v="363"/>
    <x v="357"/>
    <d v="1985-03-09T00:00:00"/>
    <x v="0"/>
    <n v="2352"/>
    <x v="205"/>
    <n v="22.551181102000001"/>
    <n v="121.768707483"/>
    <m/>
    <m/>
    <s v=""/>
  </r>
  <r>
    <n v="364"/>
    <x v="358"/>
    <d v="1991-02-11T00:00:00"/>
    <x v="0"/>
    <n v="160"/>
    <x v="206"/>
    <n v="16.399999999999999"/>
    <n v="102.5"/>
    <m/>
    <m/>
    <s v=""/>
  </r>
  <r>
    <n v="365"/>
    <x v="359"/>
    <d v="1985-05-06T00:00:00"/>
    <x v="0"/>
    <n v="12"/>
    <x v="35"/>
    <n v="3.5"/>
    <n v="58.333333332999999"/>
    <n v="311"/>
    <n v="472"/>
    <n v="9.106109324758842"/>
  </r>
  <r>
    <n v="366"/>
    <x v="360"/>
    <d v="1989-02-13T00:00:00"/>
    <x v="0"/>
    <n v="20"/>
    <x v="50"/>
    <n v="8.5"/>
    <n v="85"/>
    <n v="200"/>
    <n v="273"/>
    <n v="8.19"/>
  </r>
  <r>
    <n v="367"/>
    <x v="361"/>
    <d v="1983-12-07T00:00:00"/>
    <x v="0"/>
    <n v="415"/>
    <x v="207"/>
    <n v="22.954545455000002"/>
    <n v="121.686746988"/>
    <n v="153"/>
    <n v="207"/>
    <n v="8.117647058823529"/>
  </r>
  <r>
    <n v="368"/>
    <x v="362"/>
    <d v="1976-05-26T00:00:00"/>
    <x v="2"/>
    <n v="156"/>
    <x v="208"/>
    <n v="50.75"/>
    <n v="130.12820512799999"/>
    <n v="90"/>
    <n v="101"/>
    <n v="6.7333333333333334"/>
  </r>
  <r>
    <n v="369"/>
    <x v="363"/>
    <d v="1993-05-08T00:00:00"/>
    <x v="4"/>
    <n v="55"/>
    <x v="209"/>
    <n v="12.833333333000001"/>
    <n v="140"/>
    <n v="379"/>
    <n v="525"/>
    <n v="8.3113456464379958"/>
  </r>
  <r>
    <n v="370"/>
    <x v="364"/>
    <d v="1990-11-05T00:00:00"/>
    <x v="0"/>
    <n v="39"/>
    <x v="109"/>
    <n v="3.4285714289999998"/>
    <n v="61.538461538"/>
    <n v="849"/>
    <n v="1202"/>
    <n v="8.4946996466431095"/>
  </r>
  <r>
    <n v="371"/>
    <x v="365"/>
    <d v="1989-04-26T00:00:00"/>
    <x v="0"/>
    <n v="2"/>
    <x v="66"/>
    <m/>
    <n v="50"/>
    <n v="31"/>
    <n v="42"/>
    <n v="8.129032258064516"/>
  </r>
  <r>
    <n v="372"/>
    <x v="366"/>
    <d v="1988-12-24T00:00:00"/>
    <x v="0"/>
    <n v="519"/>
    <x v="210"/>
    <n v="11.68"/>
    <n v="112.524084778"/>
    <n v="3157"/>
    <n v="4153"/>
    <n v="7.8929363319607226"/>
  </r>
  <r>
    <n v="373"/>
    <x v="367"/>
    <d v="1986-09-05T00:00:00"/>
    <x v="0"/>
    <n v="44"/>
    <x v="83"/>
    <n v="1.6"/>
    <n v="36.363636364000001"/>
    <n v="1945"/>
    <n v="2399"/>
    <n v="7.4005141388174804"/>
  </r>
  <r>
    <n v="374"/>
    <x v="368"/>
    <d v="1987-11-03T00:00:00"/>
    <x v="0"/>
    <n v="91"/>
    <x v="39"/>
    <n v="11.5"/>
    <n v="101.098901099"/>
    <m/>
    <m/>
    <s v=""/>
  </r>
  <r>
    <n v="375"/>
    <x v="369"/>
    <d v="1991-04-26T00:00:00"/>
    <x v="4"/>
    <n v="12"/>
    <x v="59"/>
    <n v="6"/>
    <n v="50"/>
    <m/>
    <m/>
    <s v=""/>
  </r>
  <r>
    <n v="376"/>
    <x v="370"/>
    <d v="1971-10-08T00:00:00"/>
    <x v="0"/>
    <n v="39"/>
    <x v="68"/>
    <n v="18"/>
    <n v="46.153846154"/>
    <n v="674"/>
    <n v="866"/>
    <n v="7.7091988130563802"/>
  </r>
  <r>
    <n v="377"/>
    <x v="371"/>
    <d v="1992-12-17T00:00:00"/>
    <x v="3"/>
    <n v="1109"/>
    <x v="211"/>
    <n v="32.130434782999998"/>
    <n v="133.27321911600001"/>
    <m/>
    <m/>
    <s v=""/>
  </r>
  <r>
    <n v="378"/>
    <x v="372"/>
    <d v="1986-09-17T00:00:00"/>
    <x v="0"/>
    <n v="336"/>
    <x v="212"/>
    <n v="11.393939394"/>
    <n v="111.904761905"/>
    <n v="3016"/>
    <n v="3391"/>
    <n v="6.7460212201591512"/>
  </r>
  <r>
    <n v="379"/>
    <x v="373"/>
    <d v="1979-10-22T00:00:00"/>
    <x v="0"/>
    <n v="284"/>
    <x v="213"/>
    <n v="11.793103448"/>
    <n v="120.422535211"/>
    <n v="1661"/>
    <n v="2059"/>
    <n v="7.4376881396748953"/>
  </r>
  <r>
    <n v="380"/>
    <x v="374"/>
    <m/>
    <x v="1"/>
    <n v="17"/>
    <x v="35"/>
    <n v="3.5"/>
    <n v="41.176470588000001"/>
    <m/>
    <m/>
    <s v=""/>
  </r>
  <r>
    <n v="381"/>
    <x v="375"/>
    <d v="1987-10-08T00:00:00"/>
    <x v="0"/>
    <n v="17"/>
    <x v="10"/>
    <n v="6.3333333329999997"/>
    <n v="111.764705882"/>
    <m/>
    <m/>
    <s v=""/>
  </r>
  <r>
    <n v="382"/>
    <x v="376"/>
    <d v="1990-02-19T00:00:00"/>
    <x v="0"/>
    <n v="135"/>
    <x v="214"/>
    <n v="21.857142856999999"/>
    <n v="113.333333333"/>
    <n v="513"/>
    <n v="655"/>
    <n v="7.6608187134502925"/>
  </r>
  <r>
    <n v="383"/>
    <x v="377"/>
    <d v="1973-01-11T00:00:00"/>
    <x v="0"/>
    <n v="1877"/>
    <x v="215"/>
    <n v="28.233766234000001"/>
    <n v="115.82312200299999"/>
    <m/>
    <m/>
    <s v=""/>
  </r>
  <r>
    <n v="384"/>
    <x v="378"/>
    <d v="1983-02-09T00:00:00"/>
    <x v="3"/>
    <n v="169"/>
    <x v="216"/>
    <n v="19.875"/>
    <n v="94.082840236999999"/>
    <n v="372"/>
    <n v="558"/>
    <n v="9"/>
  </r>
  <r>
    <n v="385"/>
    <x v="379"/>
    <d v="1985-11-19T00:00:00"/>
    <x v="0"/>
    <n v="6"/>
    <x v="15"/>
    <n v="3"/>
    <n v="50"/>
    <n v="36"/>
    <n v="65"/>
    <n v="10.833333333333334"/>
  </r>
  <r>
    <n v="386"/>
    <x v="380"/>
    <m/>
    <x v="1"/>
    <n v="126"/>
    <x v="188"/>
    <n v="40.25"/>
    <n v="127.777777778"/>
    <n v="84"/>
    <n v="121"/>
    <n v="8.6428571428571423"/>
  </r>
  <r>
    <n v="387"/>
    <x v="381"/>
    <d v="1984-10-15T00:00:00"/>
    <x v="7"/>
    <n v="49"/>
    <x v="149"/>
    <n v="10.199999999999999"/>
    <n v="104.081632653"/>
    <n v="278"/>
    <n v="319"/>
    <n v="6.8848920863309351"/>
  </r>
  <r>
    <n v="388"/>
    <x v="382"/>
    <m/>
    <x v="1"/>
    <n v="4"/>
    <x v="16"/>
    <m/>
    <n v="125"/>
    <n v="27"/>
    <n v="45"/>
    <n v="10"/>
  </r>
  <r>
    <n v="389"/>
    <x v="383"/>
    <d v="1981-01-14T00:00:00"/>
    <x v="0"/>
    <n v="231"/>
    <x v="217"/>
    <n v="16.875"/>
    <n v="116.883116883"/>
    <n v="144"/>
    <n v="233"/>
    <n v="9.7083333333333339"/>
  </r>
  <r>
    <n v="390"/>
    <x v="384"/>
    <d v="1987-04-30T00:00:00"/>
    <x v="0"/>
    <n v="75"/>
    <x v="218"/>
    <n v="6"/>
    <n v="88"/>
    <n v="935"/>
    <n v="1100"/>
    <n v="7.0588235294117645"/>
  </r>
  <r>
    <n v="391"/>
    <x v="385"/>
    <d v="1990-08-28T00:00:00"/>
    <x v="0"/>
    <n v="23"/>
    <x v="10"/>
    <n v="9.5"/>
    <n v="82.608695651999994"/>
    <n v="130"/>
    <n v="217"/>
    <n v="10.015384615384615"/>
  </r>
  <r>
    <n v="392"/>
    <x v="386"/>
    <m/>
    <x v="1"/>
    <n v="65"/>
    <x v="218"/>
    <n v="11"/>
    <n v="101.53846153800001"/>
    <m/>
    <m/>
    <s v=""/>
  </r>
  <r>
    <n v="393"/>
    <x v="387"/>
    <d v="1993-05-20T00:00:00"/>
    <x v="0"/>
    <n v="89"/>
    <x v="219"/>
    <n v="16.428571429000002"/>
    <n v="129.21348314599999"/>
    <n v="301"/>
    <n v="361"/>
    <n v="7.1960132890365456"/>
  </r>
  <r>
    <n v="394"/>
    <x v="388"/>
    <d v="1984-02-12T00:00:00"/>
    <x v="0"/>
    <n v="271"/>
    <x v="220"/>
    <n v="11.923076923"/>
    <n v="114.391143911"/>
    <n v="2186"/>
    <n v="3043"/>
    <n v="8.3522415370539811"/>
  </r>
  <r>
    <n v="395"/>
    <x v="389"/>
    <d v="1988-12-06T00:00:00"/>
    <x v="0"/>
    <n v="1567"/>
    <x v="221"/>
    <n v="23.265060241"/>
    <n v="123.229100191"/>
    <n v="2541"/>
    <n v="3221"/>
    <n v="7.6056670602125145"/>
  </r>
  <r>
    <n v="396"/>
    <x v="390"/>
    <d v="1985-06-12T00:00:00"/>
    <x v="0"/>
    <m/>
    <x v="12"/>
    <m/>
    <m/>
    <n v="6"/>
    <n v="11"/>
    <n v="11"/>
  </r>
  <r>
    <n v="397"/>
    <x v="391"/>
    <m/>
    <x v="1"/>
    <n v="553"/>
    <x v="222"/>
    <n v="28.185185185000002"/>
    <n v="137.61301989099999"/>
    <n v="6"/>
    <n v="12"/>
    <n v="12"/>
  </r>
  <r>
    <n v="398"/>
    <x v="392"/>
    <m/>
    <x v="1"/>
    <n v="63"/>
    <x v="223"/>
    <n v="8.75"/>
    <n v="166.66666666699999"/>
    <n v="1106"/>
    <n v="1257"/>
    <n v="6.8191681735985528"/>
  </r>
  <r>
    <n v="399"/>
    <x v="393"/>
    <m/>
    <x v="1"/>
    <n v="13"/>
    <x v="6"/>
    <n v="7.5"/>
    <n v="115.384615385"/>
    <n v="333"/>
    <n v="376"/>
    <n v="6.7747747747747749"/>
  </r>
  <r>
    <n v="400"/>
    <x v="394"/>
    <d v="1988-01-14T00:00:00"/>
    <x v="3"/>
    <n v="73"/>
    <x v="224"/>
    <n v="13.833333333000001"/>
    <n v="113.69863013699999"/>
    <m/>
    <m/>
    <s v=""/>
  </r>
  <r>
    <n v="401"/>
    <x v="395"/>
    <d v="1984-12-31T00:00:00"/>
    <x v="3"/>
    <n v="141"/>
    <x v="216"/>
    <n v="14.454545455"/>
    <n v="112.76595744700001"/>
    <n v="455"/>
    <n v="515"/>
    <n v="6.791208791208792"/>
  </r>
  <r>
    <n v="402"/>
    <x v="396"/>
    <d v="1992-02-02T00:00:00"/>
    <x v="0"/>
    <n v="2"/>
    <x v="13"/>
    <m/>
    <n v="100"/>
    <n v="37"/>
    <n v="63"/>
    <n v="10.216216216216216"/>
  </r>
  <r>
    <n v="403"/>
    <x v="397"/>
    <d v="1987-04-30T00:00:00"/>
    <x v="0"/>
    <n v="3742"/>
    <x v="225"/>
    <n v="30.447204969000001"/>
    <n v="130.99946552599999"/>
    <n v="342"/>
    <n v="449"/>
    <n v="7.8771929824561404"/>
  </r>
  <r>
    <n v="404"/>
    <x v="398"/>
    <d v="1979-10-11T00:00:00"/>
    <x v="4"/>
    <n v="111"/>
    <x v="182"/>
    <n v="9.75"/>
    <n v="105.405405405"/>
    <n v="865"/>
    <n v="1085"/>
    <n v="7.5260115606936422"/>
  </r>
  <r>
    <n v="405"/>
    <x v="399"/>
    <d v="1979-08-04T00:00:00"/>
    <x v="3"/>
    <n v="29"/>
    <x v="61"/>
    <n v="10.666666666999999"/>
    <n v="110.34482758599999"/>
    <n v="48"/>
    <n v="70"/>
    <n v="8.75"/>
  </r>
  <r>
    <n v="406"/>
    <x v="400"/>
    <d v="1982-08-20T00:00:00"/>
    <x v="4"/>
    <n v="102"/>
    <x v="226"/>
    <n v="14.714285714000001"/>
    <n v="100.980392157"/>
    <m/>
    <m/>
    <s v=""/>
  </r>
  <r>
    <n v="407"/>
    <x v="401"/>
    <d v="1980-06-30T00:00:00"/>
    <x v="10"/>
    <n v="234"/>
    <x v="227"/>
    <n v="19.176470588000001"/>
    <n v="139.31623931600001"/>
    <n v="83"/>
    <n v="94"/>
    <n v="6.7951807228915664"/>
  </r>
  <r>
    <n v="408"/>
    <x v="402"/>
    <d v="1985-12-06T00:00:00"/>
    <x v="0"/>
    <n v="72"/>
    <x v="200"/>
    <n v="3.4666666670000001"/>
    <n v="72.222222221999999"/>
    <n v="1874"/>
    <n v="2417"/>
    <n v="7.7385272145144084"/>
  </r>
  <r>
    <n v="409"/>
    <x v="403"/>
    <d v="1985-09-01T00:00:00"/>
    <x v="0"/>
    <n v="2"/>
    <x v="26"/>
    <n v="0"/>
    <n v="0"/>
    <n v="12"/>
    <n v="35"/>
    <n v="17.5"/>
  </r>
  <r>
    <n v="410"/>
    <x v="404"/>
    <d v="1979-02-27T00:00:00"/>
    <x v="0"/>
    <m/>
    <x v="12"/>
    <m/>
    <m/>
    <n v="12"/>
    <n v="24"/>
    <n v="12"/>
  </r>
  <r>
    <n v="411"/>
    <x v="405"/>
    <d v="1997-10-04T00:00:00"/>
    <x v="0"/>
    <n v="1071"/>
    <x v="228"/>
    <n v="36.061224490000001"/>
    <n v="164.985994398"/>
    <m/>
    <m/>
    <s v=""/>
  </r>
  <r>
    <n v="412"/>
    <x v="406"/>
    <d v="1978-05-20T00:00:00"/>
    <x v="0"/>
    <n v="63"/>
    <x v="119"/>
    <n v="22.333333332999999"/>
    <n v="106.349206349"/>
    <n v="443"/>
    <n v="538"/>
    <n v="7.2866817155756216"/>
  </r>
  <r>
    <n v="413"/>
    <x v="407"/>
    <d v="1986-09-03T00:00:00"/>
    <x v="0"/>
    <n v="18"/>
    <x v="29"/>
    <n v="20"/>
    <n v="111.111111111"/>
    <n v="144"/>
    <n v="214"/>
    <n v="8.9166666666666661"/>
  </r>
  <r>
    <n v="414"/>
    <x v="408"/>
    <d v="1989-10-09T00:00:00"/>
    <x v="3"/>
    <n v="51"/>
    <x v="2"/>
    <n v="8.8333333330000006"/>
    <n v="103.921568627"/>
    <m/>
    <m/>
    <s v=""/>
  </r>
  <r>
    <n v="415"/>
    <x v="409"/>
    <d v="1980-06-23T00:00:00"/>
    <x v="7"/>
    <n v="75"/>
    <x v="167"/>
    <n v="24.333333332999999"/>
    <n v="97.333333332999999"/>
    <m/>
    <m/>
    <s v=""/>
  </r>
  <r>
    <n v="416"/>
    <x v="410"/>
    <d v="1985-05-04T00:00:00"/>
    <x v="2"/>
    <n v="452"/>
    <x v="229"/>
    <n v="27.947368421"/>
    <n v="117.477876106"/>
    <n v="213"/>
    <n v="301"/>
    <n v="8.47887323943662"/>
  </r>
  <r>
    <n v="417"/>
    <x v="411"/>
    <d v="1976-02-20T00:00:00"/>
    <x v="0"/>
    <n v="8"/>
    <x v="13"/>
    <n v="2"/>
    <n v="25"/>
    <n v="6"/>
    <n v="8"/>
    <n v="8"/>
  </r>
  <r>
    <n v="418"/>
    <x v="412"/>
    <d v="1980-10-18T00:00:00"/>
    <x v="0"/>
    <n v="2"/>
    <x v="1"/>
    <m/>
    <n v="200"/>
    <m/>
    <m/>
    <s v=""/>
  </r>
  <r>
    <n v="419"/>
    <x v="413"/>
    <d v="1974-12-19T00:00:00"/>
    <x v="4"/>
    <n v="127"/>
    <x v="230"/>
    <n v="11.375"/>
    <n v="71.653543307000007"/>
    <m/>
    <m/>
    <s v=""/>
  </r>
  <r>
    <n v="420"/>
    <x v="414"/>
    <d v="1985-10-16T00:00:00"/>
    <x v="0"/>
    <n v="50"/>
    <x v="231"/>
    <n v="7.1428571429999996"/>
    <n v="100"/>
    <n v="97"/>
    <n v="130"/>
    <n v="8.0412371134020617"/>
  </r>
  <r>
    <n v="422"/>
    <x v="415"/>
    <d v="1985-11-11T00:00:00"/>
    <x v="0"/>
    <n v="3381"/>
    <x v="232"/>
    <n v="28.333333332999999"/>
    <n v="130.73055309099999"/>
    <m/>
    <m/>
    <s v=""/>
  </r>
  <r>
    <n v="423"/>
    <x v="416"/>
    <d v="1976-06-12T00:00:00"/>
    <x v="11"/>
    <m/>
    <x v="12"/>
    <m/>
    <m/>
    <n v="18"/>
    <n v="33"/>
    <n v="11"/>
  </r>
  <r>
    <n v="424"/>
    <x v="417"/>
    <d v="1987-04-14T00:00:00"/>
    <x v="0"/>
    <n v="110"/>
    <x v="233"/>
    <n v="17"/>
    <n v="123.636363636"/>
    <m/>
    <m/>
    <s v=""/>
  </r>
  <r>
    <n v="425"/>
    <x v="418"/>
    <d v="1984-04-08T00:00:00"/>
    <x v="0"/>
    <n v="56"/>
    <x v="234"/>
    <n v="19.666666667000001"/>
    <n v="105.357142857"/>
    <n v="788"/>
    <n v="1057"/>
    <n v="8.0482233502538065"/>
  </r>
  <r>
    <n v="426"/>
    <x v="419"/>
    <d v="1981-03-09T00:00:00"/>
    <x v="7"/>
    <n v="23"/>
    <x v="88"/>
    <n v="2.6"/>
    <n v="56.52173913"/>
    <n v="263"/>
    <n v="329"/>
    <n v="7.5057034220532319"/>
  </r>
  <r>
    <n v="427"/>
    <x v="420"/>
    <d v="1980-08-30T00:00:00"/>
    <x v="0"/>
    <n v="1210"/>
    <x v="235"/>
    <n v="30.020833332999999"/>
    <n v="119.090909091"/>
    <m/>
    <m/>
    <s v=""/>
  </r>
  <r>
    <n v="428"/>
    <x v="421"/>
    <d v="1974-08-16T00:00:00"/>
    <x v="7"/>
    <n v="31"/>
    <x v="3"/>
    <n v="8.3333333330000006"/>
    <n v="80.645161290000004"/>
    <m/>
    <m/>
    <s v=""/>
  </r>
  <r>
    <n v="429"/>
    <x v="422"/>
    <m/>
    <x v="1"/>
    <n v="55"/>
    <x v="236"/>
    <n v="23.75"/>
    <n v="172.72727272700001"/>
    <n v="207"/>
    <n v="336"/>
    <n v="9.7391304347826093"/>
  </r>
  <r>
    <n v="430"/>
    <x v="423"/>
    <d v="1985-12-05T00:00:00"/>
    <x v="0"/>
    <n v="3665"/>
    <x v="237"/>
    <n v="33.583941606000003"/>
    <n v="125.53888130999999"/>
    <n v="49"/>
    <n v="72"/>
    <n v="8.8163265306122458"/>
  </r>
  <r>
    <n v="431"/>
    <x v="424"/>
    <m/>
    <x v="1"/>
    <n v="33"/>
    <x v="72"/>
    <n v="10"/>
    <n v="121.212121212"/>
    <n v="11"/>
    <n v="9"/>
    <n v="4.9090909090909092"/>
  </r>
  <r>
    <n v="432"/>
    <x v="425"/>
    <m/>
    <x v="1"/>
    <n v="377"/>
    <x v="238"/>
    <n v="36.428571429000002"/>
    <n v="135.278514589"/>
    <m/>
    <m/>
    <s v=""/>
  </r>
  <r>
    <n v="433"/>
    <x v="426"/>
    <d v="1993-09-04T00:00:00"/>
    <x v="0"/>
    <n v="118"/>
    <x v="239"/>
    <n v="16.125"/>
    <n v="109.322033898"/>
    <n v="593"/>
    <n v="753"/>
    <n v="7.6188870151770658"/>
  </r>
  <r>
    <n v="434"/>
    <x v="427"/>
    <m/>
    <x v="1"/>
    <n v="73"/>
    <x v="33"/>
    <n v="18"/>
    <n v="123.287671233"/>
    <m/>
    <m/>
    <s v=""/>
  </r>
  <r>
    <n v="435"/>
    <x v="428"/>
    <d v="1990-05-19T00:00:00"/>
    <x v="0"/>
    <n v="28"/>
    <x v="18"/>
    <n v="4"/>
    <n v="42.857142856999999"/>
    <n v="1007"/>
    <n v="1437"/>
    <n v="8.5620655412115187"/>
  </r>
  <r>
    <n v="436"/>
    <x v="429"/>
    <d v="1995-09-07T00:00:00"/>
    <x v="0"/>
    <n v="1"/>
    <x v="26"/>
    <n v="0"/>
    <n v="0"/>
    <n v="210"/>
    <n v="304"/>
    <n v="8.6857142857142851"/>
  </r>
  <r>
    <n v="437"/>
    <x v="430"/>
    <m/>
    <x v="1"/>
    <m/>
    <x v="12"/>
    <m/>
    <m/>
    <n v="50"/>
    <n v="73"/>
    <n v="8.76"/>
  </r>
  <r>
    <n v="438"/>
    <x v="431"/>
    <d v="1986-07-10T00:00:00"/>
    <x v="0"/>
    <n v="9"/>
    <x v="26"/>
    <n v="0"/>
    <n v="0"/>
    <n v="141"/>
    <n v="225"/>
    <n v="9.5744680851063837"/>
  </r>
  <r>
    <n v="439"/>
    <x v="432"/>
    <m/>
    <x v="1"/>
    <n v="1"/>
    <x v="26"/>
    <n v="0"/>
    <n v="0"/>
    <n v="211"/>
    <n v="303"/>
    <n v="8.6161137440758306"/>
  </r>
  <r>
    <n v="440"/>
    <x v="433"/>
    <m/>
    <x v="1"/>
    <n v="15"/>
    <x v="88"/>
    <n v="4.3333333329999997"/>
    <n v="86.666666667000001"/>
    <n v="179"/>
    <n v="288"/>
    <n v="9.6536312849162016"/>
  </r>
  <r>
    <n v="441"/>
    <x v="434"/>
    <m/>
    <x v="1"/>
    <m/>
    <x v="12"/>
    <m/>
    <m/>
    <n v="13"/>
    <n v="32"/>
    <n v="14.76923076923077"/>
  </r>
  <r>
    <n v="442"/>
    <x v="435"/>
    <d v="1989-08-12T00:00:00"/>
    <x v="0"/>
    <n v="77"/>
    <x v="61"/>
    <n v="2.2857142860000002"/>
    <n v="41.558441557999998"/>
    <n v="1283"/>
    <n v="1589"/>
    <n v="7.4310210444271236"/>
  </r>
  <r>
    <n v="443"/>
    <x v="436"/>
    <d v="1982-04-16T00:00:00"/>
    <x v="0"/>
    <n v="27"/>
    <x v="46"/>
    <n v="9.25"/>
    <n v="137.037037037"/>
    <n v="113"/>
    <n v="203"/>
    <n v="10.778761061946904"/>
  </r>
  <r>
    <n v="444"/>
    <x v="437"/>
    <d v="1984-09-18T00:00:00"/>
    <x v="0"/>
    <n v="81"/>
    <x v="230"/>
    <n v="18.2"/>
    <n v="112.34567901200001"/>
    <n v="16"/>
    <n v="18"/>
    <n v="6.75"/>
  </r>
  <r>
    <n v="445"/>
    <x v="438"/>
    <d v="1985-01-30T00:00:00"/>
    <x v="6"/>
    <n v="4"/>
    <x v="13"/>
    <n v="2"/>
    <n v="50"/>
    <n v="180"/>
    <n v="223"/>
    <n v="7.4333333333333336"/>
  </r>
  <r>
    <n v="446"/>
    <x v="439"/>
    <m/>
    <x v="1"/>
    <n v="53"/>
    <x v="209"/>
    <n v="15.4"/>
    <n v="145.283018868"/>
    <n v="46"/>
    <n v="66"/>
    <n v="8.6086956521739122"/>
  </r>
  <r>
    <n v="447"/>
    <x v="440"/>
    <m/>
    <x v="1"/>
    <n v="3"/>
    <x v="59"/>
    <m/>
    <n v="200"/>
    <n v="265"/>
    <n v="367"/>
    <n v="8.3094339622641513"/>
  </r>
  <r>
    <n v="448"/>
    <x v="441"/>
    <m/>
    <x v="1"/>
    <n v="17"/>
    <x v="83"/>
    <n v="16"/>
    <n v="94.117647059000006"/>
    <m/>
    <m/>
    <s v=""/>
  </r>
  <r>
    <n v="449"/>
    <x v="442"/>
    <d v="1987-11-10T00:00:00"/>
    <x v="0"/>
    <n v="290"/>
    <x v="240"/>
    <n v="20.444444443999998"/>
    <n v="126.89655172400001"/>
    <m/>
    <m/>
    <s v=""/>
  </r>
  <r>
    <n v="450"/>
    <x v="443"/>
    <d v="1983-02-06T00:00:00"/>
    <x v="0"/>
    <n v="52"/>
    <x v="9"/>
    <n v="11.333333333000001"/>
    <n v="65.384615385000004"/>
    <n v="947"/>
    <n v="1221"/>
    <n v="7.736008447729672"/>
  </r>
  <r>
    <n v="451"/>
    <x v="444"/>
    <d v="1976-02-21T00:00:00"/>
    <x v="0"/>
    <n v="36"/>
    <x v="241"/>
    <n v="15.5"/>
    <n v="86.111111111"/>
    <n v="18"/>
    <n v="49"/>
    <n v="16.333333333333332"/>
  </r>
  <r>
    <n v="452"/>
    <x v="445"/>
    <d v="1987-09-17T00:00:00"/>
    <x v="0"/>
    <n v="4"/>
    <x v="15"/>
    <m/>
    <n v="75"/>
    <n v="220"/>
    <n v="304"/>
    <n v="8.290909090909091"/>
  </r>
  <r>
    <n v="453"/>
    <x v="446"/>
    <d v="1981-12-03T00:00:00"/>
    <x v="0"/>
    <n v="108"/>
    <x v="145"/>
    <n v="18.125"/>
    <n v="134.259259259"/>
    <n v="13"/>
    <n v="22"/>
    <n v="10.153846153846155"/>
  </r>
  <r>
    <n v="454"/>
    <x v="447"/>
    <m/>
    <x v="1"/>
    <m/>
    <x v="12"/>
    <m/>
    <m/>
    <n v="73"/>
    <n v="88"/>
    <n v="7.2328767123287676"/>
  </r>
  <r>
    <n v="455"/>
    <x v="448"/>
    <d v="1992-02-29T00:00:00"/>
    <x v="8"/>
    <n v="13"/>
    <x v="6"/>
    <n v="15"/>
    <n v="115.384615385"/>
    <n v="32"/>
    <n v="57"/>
    <n v="10.6875"/>
  </r>
  <r>
    <n v="456"/>
    <x v="449"/>
    <d v="1984-03-29T00:00:00"/>
    <x v="0"/>
    <n v="339"/>
    <x v="242"/>
    <n v="22.263157894999999"/>
    <n v="124.778761062"/>
    <m/>
    <m/>
    <s v=""/>
  </r>
  <r>
    <n v="457"/>
    <x v="450"/>
    <d v="1990-09-14T00:00:00"/>
    <x v="0"/>
    <n v="465"/>
    <x v="243"/>
    <n v="20.965517241000001"/>
    <n v="130.75268817200001"/>
    <n v="6"/>
    <n v="8"/>
    <n v="8"/>
  </r>
  <r>
    <n v="458"/>
    <x v="451"/>
    <d v="1988-12-18T00:00:00"/>
    <x v="0"/>
    <n v="101"/>
    <x v="244"/>
    <n v="15.222222221999999"/>
    <n v="135.64356435600001"/>
    <n v="10"/>
    <n v="8"/>
    <n v="4.8"/>
  </r>
  <r>
    <n v="459"/>
    <x v="452"/>
    <d v="1984-10-07T00:00:00"/>
    <x v="9"/>
    <n v="161"/>
    <x v="70"/>
    <n v="27.571428570999998"/>
    <n v="119.875776398"/>
    <m/>
    <m/>
    <s v=""/>
  </r>
  <r>
    <n v="460"/>
    <x v="453"/>
    <d v="1993-05-18T00:00:00"/>
    <x v="0"/>
    <n v="38"/>
    <x v="24"/>
    <n v="8.6666666669999994"/>
    <n v="68.421052631999999"/>
    <n v="1546"/>
    <n v="1967"/>
    <n v="7.6338939197930138"/>
  </r>
  <r>
    <n v="461"/>
    <x v="454"/>
    <d v="1972-10-11T00:00:00"/>
    <x v="0"/>
    <n v="58"/>
    <x v="37"/>
    <n v="8.1666666669999994"/>
    <n v="84.482758621000002"/>
    <n v="153"/>
    <n v="221"/>
    <n v="8.6666666666666661"/>
  </r>
  <r>
    <n v="462"/>
    <x v="455"/>
    <d v="1980-11-27T00:00:00"/>
    <x v="0"/>
    <n v="29"/>
    <x v="168"/>
    <n v="14"/>
    <n v="96.551724137999997"/>
    <n v="1101"/>
    <n v="1474"/>
    <n v="8.0326975476839237"/>
  </r>
  <r>
    <n v="463"/>
    <x v="456"/>
    <d v="1970-06-06T00:00:00"/>
    <x v="0"/>
    <n v="14"/>
    <x v="59"/>
    <n v="3"/>
    <n v="42.857142856999999"/>
    <n v="55"/>
    <n v="82"/>
    <n v="8.9454545454545453"/>
  </r>
  <r>
    <n v="464"/>
    <x v="457"/>
    <d v="1975-07-10T00:00:00"/>
    <x v="8"/>
    <n v="133"/>
    <x v="245"/>
    <n v="18.714285713999999"/>
    <n v="98.496240602"/>
    <n v="222"/>
    <n v="278"/>
    <n v="7.5135135135135132"/>
  </r>
  <r>
    <n v="465"/>
    <x v="458"/>
    <d v="1988-10-09T00:00:00"/>
    <x v="0"/>
    <n v="3"/>
    <x v="13"/>
    <n v="1"/>
    <n v="66.666666667000001"/>
    <n v="108"/>
    <n v="147"/>
    <n v="8.1666666666666661"/>
  </r>
  <r>
    <n v="466"/>
    <x v="459"/>
    <d v="1972-07-08T00:00:00"/>
    <x v="0"/>
    <n v="1261"/>
    <x v="246"/>
    <n v="24.981481480999999"/>
    <n v="106.978588422"/>
    <n v="280"/>
    <n v="370"/>
    <n v="7.9285714285714288"/>
  </r>
  <r>
    <n v="467"/>
    <x v="460"/>
    <d v="1987-05-06T00:00:00"/>
    <x v="0"/>
    <n v="89"/>
    <x v="196"/>
    <n v="14.142857143000001"/>
    <n v="111.23595505599999"/>
    <n v="38"/>
    <n v="62"/>
    <n v="9.7894736842105274"/>
  </r>
  <r>
    <n v="468"/>
    <x v="461"/>
    <m/>
    <x v="1"/>
    <n v="13"/>
    <x v="6"/>
    <n v="15"/>
    <n v="115.384615385"/>
    <m/>
    <m/>
    <s v=""/>
  </r>
  <r>
    <n v="469"/>
    <x v="462"/>
    <d v="1975-06-07T00:00:00"/>
    <x v="8"/>
    <n v="2"/>
    <x v="66"/>
    <n v="1"/>
    <n v="50"/>
    <n v="191"/>
    <n v="225"/>
    <n v="7.0680628272251314"/>
  </r>
  <r>
    <n v="470"/>
    <x v="463"/>
    <d v="1983-07-09T00:00:00"/>
    <x v="4"/>
    <n v="1866"/>
    <x v="247"/>
    <n v="38.292307692000001"/>
    <n v="133.38692390099999"/>
    <m/>
    <m/>
    <s v=""/>
  </r>
  <r>
    <n v="471"/>
    <x v="464"/>
    <d v="1980-03-01T00:00:00"/>
    <x v="9"/>
    <n v="46"/>
    <x v="160"/>
    <n v="10.125"/>
    <n v="176.08695652200001"/>
    <n v="185"/>
    <n v="237"/>
    <n v="7.686486486486487"/>
  </r>
  <r>
    <n v="472"/>
    <x v="465"/>
    <d v="1987-03-24T00:00:00"/>
    <x v="5"/>
    <n v="588"/>
    <x v="248"/>
    <n v="22.058823529000001"/>
    <n v="127.551020408"/>
    <n v="1359"/>
    <n v="1685"/>
    <n v="7.4392935982339958"/>
  </r>
  <r>
    <n v="473"/>
    <x v="466"/>
    <d v="1993-09-09T00:00:00"/>
    <x v="0"/>
    <n v="3"/>
    <x v="16"/>
    <n v="5"/>
    <n v="166.66666666699999"/>
    <n v="114"/>
    <n v="165"/>
    <n v="8.6842105263157894"/>
  </r>
  <r>
    <n v="474"/>
    <x v="467"/>
    <d v="1990-08-17T00:00:00"/>
    <x v="9"/>
    <n v="6"/>
    <x v="66"/>
    <n v="0.5"/>
    <n v="16.666666667000001"/>
    <n v="103"/>
    <n v="154"/>
    <n v="8.9708737864077666"/>
  </r>
  <r>
    <n v="475"/>
    <x v="468"/>
    <d v="1975-08-13T00:00:00"/>
    <x v="9"/>
    <n v="7"/>
    <x v="13"/>
    <n v="2"/>
    <n v="28.571428570999998"/>
    <n v="46"/>
    <n v="54"/>
    <n v="7.0434782608695645"/>
  </r>
  <r>
    <n v="476"/>
    <x v="469"/>
    <d v="1982-02-01T00:00:00"/>
    <x v="9"/>
    <n v="47"/>
    <x v="200"/>
    <n v="13"/>
    <n v="110.638297872"/>
    <n v="58"/>
    <n v="87"/>
    <n v="9"/>
  </r>
  <r>
    <n v="477"/>
    <x v="470"/>
    <d v="1981-09-22T00:00:00"/>
    <x v="0"/>
    <n v="5"/>
    <x v="16"/>
    <n v="5"/>
    <n v="100"/>
    <n v="306"/>
    <n v="444"/>
    <n v="8.7058823529411757"/>
  </r>
  <r>
    <n v="478"/>
    <x v="471"/>
    <d v="1986-11-27T00:00:00"/>
    <x v="0"/>
    <n v="3916"/>
    <x v="249"/>
    <n v="33.662500000000001"/>
    <n v="137.53830439199999"/>
    <n v="930"/>
    <n v="1139"/>
    <n v="7.3483870967741938"/>
  </r>
  <r>
    <n v="479"/>
    <x v="472"/>
    <d v="1982-09-04T00:00:00"/>
    <x v="0"/>
    <n v="59"/>
    <x v="22"/>
    <n v="5.25"/>
    <n v="71.186440677999997"/>
    <n v="1557"/>
    <n v="1944"/>
    <n v="7.4913294797687859"/>
  </r>
  <r>
    <n v="480"/>
    <x v="473"/>
    <d v="1969-09-13T00:00:00"/>
    <x v="4"/>
    <n v="213"/>
    <x v="250"/>
    <n v="10.421052632"/>
    <n v="92.957746478999994"/>
    <n v="1223"/>
    <n v="1465"/>
    <n v="7.1872444807849547"/>
  </r>
  <r>
    <n v="481"/>
    <x v="474"/>
    <d v="1983-08-28T00:00:00"/>
    <x v="6"/>
    <n v="99"/>
    <x v="127"/>
    <n v="7.3333333329999997"/>
    <n v="88.888888889"/>
    <n v="2974"/>
    <n v="3511"/>
    <n v="7.0833893745796903"/>
  </r>
  <r>
    <n v="482"/>
    <x v="475"/>
    <d v="1989-04-11T00:00:00"/>
    <x v="4"/>
    <m/>
    <x v="12"/>
    <m/>
    <m/>
    <n v="43"/>
    <n v="56"/>
    <n v="7.8139534883720927"/>
  </r>
  <r>
    <n v="483"/>
    <x v="476"/>
    <d v="1974-03-01T00:00:00"/>
    <x v="4"/>
    <n v="13"/>
    <x v="20"/>
    <m/>
    <n v="69.230769230999996"/>
    <n v="67"/>
    <n v="74"/>
    <n v="6.6268656716417915"/>
  </r>
  <r>
    <n v="484"/>
    <x v="477"/>
    <d v="1975-08-21T00:00:00"/>
    <x v="4"/>
    <n v="184"/>
    <x v="251"/>
    <n v="24.1"/>
    <n v="130.97826087000001"/>
    <m/>
    <m/>
    <s v=""/>
  </r>
  <r>
    <n v="485"/>
    <x v="478"/>
    <d v="1973-07-16T00:00:00"/>
    <x v="3"/>
    <n v="111"/>
    <x v="252"/>
    <n v="18.375"/>
    <n v="132.43243243200001"/>
    <n v="280"/>
    <n v="307"/>
    <n v="6.5785714285714292"/>
  </r>
  <r>
    <n v="486"/>
    <x v="479"/>
    <d v="1985-02-09T00:00:00"/>
    <x v="6"/>
    <n v="17"/>
    <x v="36"/>
    <n v="10"/>
    <n v="58.823529411999999"/>
    <n v="195"/>
    <n v="211"/>
    <n v="6.4923076923076923"/>
  </r>
  <r>
    <n v="487"/>
    <x v="480"/>
    <d v="1997-10-27T00:00:00"/>
    <x v="0"/>
    <n v="285"/>
    <x v="253"/>
    <n v="22.888888889"/>
    <n v="144.561403509"/>
    <n v="2"/>
    <n v="6"/>
    <n v="18"/>
  </r>
  <r>
    <n v="488"/>
    <x v="481"/>
    <d v="1991-10-16T00:00:00"/>
    <x v="0"/>
    <n v="21"/>
    <x v="43"/>
    <n v="9"/>
    <n v="171.42857142899999"/>
    <n v="745"/>
    <n v="1107"/>
    <n v="8.9154362416107382"/>
  </r>
  <r>
    <n v="489"/>
    <x v="482"/>
    <d v="1984-12-12T00:00:00"/>
    <x v="9"/>
    <n v="29"/>
    <x v="43"/>
    <n v="12"/>
    <n v="124.137931034"/>
    <n v="265"/>
    <n v="275"/>
    <n v="6.2264150943396226"/>
  </r>
  <r>
    <n v="490"/>
    <x v="483"/>
    <d v="1973-04-01T00:00:00"/>
    <x v="8"/>
    <n v="165"/>
    <x v="254"/>
    <n v="21.777777778000001"/>
    <n v="118.787878788"/>
    <m/>
    <m/>
    <s v=""/>
  </r>
  <r>
    <n v="491"/>
    <x v="484"/>
    <d v="1989-05-18T00:00:00"/>
    <x v="0"/>
    <n v="290"/>
    <x v="99"/>
    <n v="16.388888889"/>
    <n v="101.724137931"/>
    <m/>
    <m/>
    <s v=""/>
  </r>
  <r>
    <n v="492"/>
    <x v="485"/>
    <m/>
    <x v="1"/>
    <n v="31"/>
    <x v="140"/>
    <n v="19"/>
    <n v="122.58064516100001"/>
    <m/>
    <m/>
    <s v=""/>
  </r>
  <r>
    <n v="493"/>
    <x v="486"/>
    <d v="1988-05-26T00:00:00"/>
    <x v="7"/>
    <n v="458"/>
    <x v="255"/>
    <n v="19.625"/>
    <n v="171.39737991300001"/>
    <n v="2600"/>
    <n v="2939"/>
    <n v="6.7823076923076924"/>
  </r>
  <r>
    <n v="494"/>
    <x v="487"/>
    <d v="1989-06-02T00:00:00"/>
    <x v="0"/>
    <n v="1570"/>
    <x v="256"/>
    <n v="34.542372880999999"/>
    <n v="129.808917197"/>
    <n v="2"/>
    <n v="5"/>
    <n v="15"/>
  </r>
  <r>
    <n v="495"/>
    <x v="488"/>
    <d v="1973-04-24T00:00:00"/>
    <x v="0"/>
    <n v="1943"/>
    <x v="257"/>
    <n v="32.873239437000002"/>
    <n v="120.123520329"/>
    <n v="37"/>
    <n v="59"/>
    <n v="9.5675675675675667"/>
  </r>
  <r>
    <n v="496"/>
    <x v="489"/>
    <d v="1981-06-17T00:00:00"/>
    <x v="4"/>
    <n v="2566"/>
    <x v="258"/>
    <n v="31.217391304"/>
    <n v="139.90646921300001"/>
    <n v="2137"/>
    <n v="2751"/>
    <n v="7.7239120262049594"/>
  </r>
  <r>
    <n v="497"/>
    <x v="490"/>
    <m/>
    <x v="1"/>
    <m/>
    <x v="12"/>
    <m/>
    <m/>
    <n v="24"/>
    <n v="42"/>
    <n v="10.5"/>
  </r>
  <r>
    <n v="498"/>
    <x v="491"/>
    <d v="1994-12-06T00:00:00"/>
    <x v="0"/>
    <n v="1321"/>
    <x v="259"/>
    <n v="29.736842105000001"/>
    <n v="128.31188493600001"/>
    <m/>
    <m/>
    <s v=""/>
  </r>
  <r>
    <n v="499"/>
    <x v="492"/>
    <d v="1988-10-27T00:00:00"/>
    <x v="0"/>
    <m/>
    <x v="12"/>
    <m/>
    <m/>
    <n v="7"/>
    <n v="6"/>
    <n v="5.1428571428571423"/>
  </r>
  <r>
    <n v="500"/>
    <x v="493"/>
    <d v="1984-12-15T00:00:00"/>
    <x v="0"/>
    <m/>
    <x v="12"/>
    <m/>
    <m/>
    <n v="25"/>
    <n v="34"/>
    <n v="8.16"/>
  </r>
  <r>
    <n v="501"/>
    <x v="494"/>
    <d v="1987-01-18T00:00:00"/>
    <x v="0"/>
    <n v="7"/>
    <x v="59"/>
    <m/>
    <n v="85.714285713999999"/>
    <m/>
    <m/>
    <s v=""/>
  </r>
  <r>
    <n v="502"/>
    <x v="495"/>
    <d v="1989-12-30T00:00:00"/>
    <x v="0"/>
    <n v="1064"/>
    <x v="260"/>
    <n v="30.380952381"/>
    <n v="119.92481203"/>
    <m/>
    <m/>
    <s v=""/>
  </r>
  <r>
    <n v="503"/>
    <x v="496"/>
    <d v="1969-06-30T00:00:00"/>
    <x v="6"/>
    <n v="531"/>
    <x v="261"/>
    <n v="26.482758620999999"/>
    <n v="144.63276836200001"/>
    <n v="301"/>
    <n v="396"/>
    <n v="7.8936877076411962"/>
  </r>
  <r>
    <n v="504"/>
    <x v="497"/>
    <d v="1984-06-03T00:00:00"/>
    <x v="0"/>
    <n v="683"/>
    <x v="262"/>
    <n v="20"/>
    <n v="128.843338214"/>
    <n v="612"/>
    <n v="767"/>
    <n v="7.5196078431372548"/>
  </r>
  <r>
    <n v="505"/>
    <x v="498"/>
    <d v="1988-09-27T00:00:00"/>
    <x v="0"/>
    <n v="1"/>
    <x v="26"/>
    <n v="0"/>
    <n v="0"/>
    <n v="19"/>
    <n v="47"/>
    <n v="14.842105263157896"/>
  </r>
  <r>
    <n v="506"/>
    <x v="499"/>
    <d v="1986-12-18T00:00:00"/>
    <x v="0"/>
    <n v="31"/>
    <x v="263"/>
    <n v="10.75"/>
    <n v="138.709677419"/>
    <m/>
    <m/>
    <s v=""/>
  </r>
  <r>
    <n v="507"/>
    <x v="500"/>
    <d v="1994-11-11T00:00:00"/>
    <x v="0"/>
    <n v="1693"/>
    <x v="264"/>
    <n v="28.037974684000002"/>
    <n v="130.83284111"/>
    <m/>
    <m/>
    <s v=""/>
  </r>
  <r>
    <n v="508"/>
    <x v="501"/>
    <d v="1991-06-15T00:00:00"/>
    <x v="2"/>
    <n v="250"/>
    <x v="265"/>
    <n v="17.736842105000001"/>
    <n v="134.80000000000001"/>
    <m/>
    <m/>
    <s v=""/>
  </r>
  <r>
    <n v="509"/>
    <x v="502"/>
    <d v="1983-02-22T00:00:00"/>
    <x v="4"/>
    <n v="26"/>
    <x v="71"/>
    <n v="7.6666666670000003"/>
    <n v="88.461538461999993"/>
    <n v="534"/>
    <n v="668"/>
    <n v="7.5056179775280896"/>
  </r>
  <r>
    <n v="510"/>
    <x v="503"/>
    <d v="1991-01-22T00:00:00"/>
    <x v="0"/>
    <n v="20"/>
    <x v="18"/>
    <n v="4"/>
    <n v="60"/>
    <n v="61"/>
    <n v="90"/>
    <n v="8.8524590163934427"/>
  </r>
  <r>
    <n v="511"/>
    <x v="504"/>
    <m/>
    <x v="1"/>
    <n v="27"/>
    <x v="71"/>
    <n v="7.6666666670000003"/>
    <n v="85.185185184999995"/>
    <n v="64"/>
    <n v="121"/>
    <n v="11.34375"/>
  </r>
  <r>
    <n v="512"/>
    <x v="505"/>
    <d v="1974-08-01T00:00:00"/>
    <x v="3"/>
    <n v="16"/>
    <x v="64"/>
    <n v="11"/>
    <n v="68.75"/>
    <n v="36"/>
    <n v="41"/>
    <n v="6.833333333333333"/>
  </r>
  <r>
    <n v="513"/>
    <x v="506"/>
    <d v="1988-12-17T00:00:00"/>
    <x v="0"/>
    <n v="19"/>
    <x v="64"/>
    <n v="3.6666666669999999"/>
    <n v="57.894736842"/>
    <m/>
    <m/>
    <s v=""/>
  </r>
  <r>
    <n v="515"/>
    <x v="507"/>
    <m/>
    <x v="1"/>
    <m/>
    <x v="12"/>
    <m/>
    <m/>
    <n v="82"/>
    <n v="116"/>
    <n v="8.4878048780487809"/>
  </r>
  <r>
    <n v="516"/>
    <x v="508"/>
    <d v="1990-02-18T00:00:00"/>
    <x v="3"/>
    <m/>
    <x v="12"/>
    <m/>
    <m/>
    <n v="96"/>
    <n v="151"/>
    <n v="9.4375"/>
  </r>
  <r>
    <n v="517"/>
    <x v="509"/>
    <d v="1983-05-14T00:00:00"/>
    <x v="11"/>
    <n v="26"/>
    <x v="241"/>
    <n v="10.333333333000001"/>
    <n v="119.230769231"/>
    <m/>
    <m/>
    <s v=""/>
  </r>
  <r>
    <n v="518"/>
    <x v="510"/>
    <d v="1981-03-01T00:00:00"/>
    <x v="6"/>
    <n v="18"/>
    <x v="18"/>
    <n v="6"/>
    <n v="66.666666667000001"/>
    <n v="144"/>
    <n v="164"/>
    <n v="6.833333333333333"/>
  </r>
  <r>
    <n v="519"/>
    <x v="511"/>
    <d v="1989-07-22T00:00:00"/>
    <x v="8"/>
    <n v="14"/>
    <x v="18"/>
    <n v="6"/>
    <n v="85.714285713999999"/>
    <n v="802"/>
    <n v="1168"/>
    <n v="8.7381546134663353"/>
  </r>
  <r>
    <n v="520"/>
    <x v="512"/>
    <d v="1984-12-08T00:00:00"/>
    <x v="4"/>
    <n v="26"/>
    <x v="36"/>
    <n v="5"/>
    <n v="38.461538462"/>
    <m/>
    <m/>
    <s v=""/>
  </r>
  <r>
    <n v="521"/>
    <x v="513"/>
    <m/>
    <x v="1"/>
    <m/>
    <x v="12"/>
    <m/>
    <m/>
    <n v="21"/>
    <n v="33"/>
    <n v="9.4285714285714288"/>
  </r>
  <r>
    <n v="522"/>
    <x v="514"/>
    <d v="1988-12-11T00:00:00"/>
    <x v="8"/>
    <n v="90"/>
    <x v="219"/>
    <n v="19.166666667000001"/>
    <n v="127.777777778"/>
    <n v="932"/>
    <n v="1340"/>
    <n v="8.6266094420600847"/>
  </r>
  <r>
    <n v="523"/>
    <x v="515"/>
    <d v="1983-12-15T00:00:00"/>
    <x v="0"/>
    <n v="573"/>
    <x v="266"/>
    <n v="22.533333333000002"/>
    <n v="117.97556719000001"/>
    <n v="152"/>
    <n v="198"/>
    <n v="7.8157894736842106"/>
  </r>
  <r>
    <n v="524"/>
    <x v="516"/>
    <d v="1976-10-14T00:00:00"/>
    <x v="6"/>
    <n v="1006"/>
    <x v="267"/>
    <n v="28.12195122"/>
    <n v="114.612326044"/>
    <n v="275"/>
    <n v="368"/>
    <n v="8.0290909090909093"/>
  </r>
  <r>
    <n v="525"/>
    <x v="517"/>
    <d v="1993-12-29T00:00:00"/>
    <x v="4"/>
    <n v="148"/>
    <x v="268"/>
    <n v="34.166666667000001"/>
    <n v="138.51351351400001"/>
    <n v="48"/>
    <n v="81"/>
    <n v="10.125"/>
  </r>
  <r>
    <n v="526"/>
    <x v="518"/>
    <d v="1989-11-07T00:00:00"/>
    <x v="0"/>
    <n v="11"/>
    <x v="82"/>
    <n v="8"/>
    <n v="72.727272726999999"/>
    <m/>
    <m/>
    <s v=""/>
  </r>
  <r>
    <n v="527"/>
    <x v="519"/>
    <d v="1984-04-24T00:00:00"/>
    <x v="0"/>
    <m/>
    <x v="12"/>
    <m/>
    <m/>
    <n v="74"/>
    <n v="137"/>
    <n v="11.108108108108107"/>
  </r>
  <r>
    <n v="528"/>
    <x v="520"/>
    <d v="1981-12-09T00:00:00"/>
    <x v="4"/>
    <n v="58"/>
    <x v="269"/>
    <n v="15"/>
    <n v="129.31034482800001"/>
    <m/>
    <m/>
    <s v=""/>
  </r>
  <r>
    <n v="529"/>
    <x v="521"/>
    <m/>
    <x v="1"/>
    <n v="11"/>
    <x v="82"/>
    <n v="2.6666666669999999"/>
    <n v="72.727272726999999"/>
    <n v="111"/>
    <n v="157"/>
    <n v="8.486486486486486"/>
  </r>
  <r>
    <n v="530"/>
    <x v="522"/>
    <d v="1987-12-02T00:00:00"/>
    <x v="0"/>
    <n v="1"/>
    <x v="26"/>
    <m/>
    <n v="0"/>
    <m/>
    <m/>
    <s v=""/>
  </r>
  <r>
    <n v="531"/>
    <x v="523"/>
    <d v="1989-11-17T00:00:00"/>
    <x v="0"/>
    <n v="14"/>
    <x v="35"/>
    <n v="7"/>
    <n v="50"/>
    <m/>
    <m/>
    <s v=""/>
  </r>
  <r>
    <n v="532"/>
    <x v="524"/>
    <d v="1993-03-26T00:00:00"/>
    <x v="0"/>
    <n v="300"/>
    <x v="270"/>
    <n v="15"/>
    <n v="100"/>
    <m/>
    <m/>
    <s v=""/>
  </r>
  <r>
    <n v="533"/>
    <x v="525"/>
    <d v="1984-04-14T00:00:00"/>
    <x v="9"/>
    <n v="19"/>
    <x v="54"/>
    <n v="13"/>
    <n v="205.26315789500001"/>
    <n v="153"/>
    <n v="198"/>
    <n v="7.7647058823529411"/>
  </r>
  <r>
    <n v="534"/>
    <x v="526"/>
    <d v="1986-12-18T00:00:00"/>
    <x v="4"/>
    <n v="100"/>
    <x v="90"/>
    <n v="25.4"/>
    <n v="127"/>
    <m/>
    <m/>
    <s v=""/>
  </r>
  <r>
    <n v="535"/>
    <x v="527"/>
    <d v="1987-10-25T00:00:00"/>
    <x v="0"/>
    <n v="124"/>
    <x v="271"/>
    <n v="10.166666666999999"/>
    <n v="98.387096774"/>
    <n v="2605"/>
    <n v="3640"/>
    <n v="8.3838771593090211"/>
  </r>
  <r>
    <n v="536"/>
    <x v="528"/>
    <m/>
    <x v="1"/>
    <m/>
    <x v="12"/>
    <m/>
    <m/>
    <n v="18"/>
    <n v="35"/>
    <n v="11.666666666666666"/>
  </r>
  <r>
    <n v="537"/>
    <x v="529"/>
    <d v="1988-11-05T00:00:00"/>
    <x v="0"/>
    <n v="4111"/>
    <x v="272"/>
    <n v="35.697368421"/>
    <n v="131.98735100900001"/>
    <n v="264"/>
    <n v="371"/>
    <n v="8.4318181818181817"/>
  </r>
  <r>
    <n v="538"/>
    <x v="530"/>
    <d v="1992-05-03T00:00:00"/>
    <x v="0"/>
    <n v="1"/>
    <x v="26"/>
    <n v="0"/>
    <n v="0"/>
    <n v="211"/>
    <n v="300"/>
    <n v="8.5308056872037916"/>
  </r>
  <r>
    <n v="539"/>
    <x v="531"/>
    <d v="1978-10-20T00:00:00"/>
    <x v="0"/>
    <n v="1746"/>
    <x v="273"/>
    <n v="27.836734694"/>
    <n v="156.24284077900001"/>
    <n v="138"/>
    <n v="236"/>
    <n v="10.260869565217391"/>
  </r>
  <r>
    <n v="540"/>
    <x v="532"/>
    <d v="1991-01-26T00:00:00"/>
    <x v="0"/>
    <n v="416"/>
    <x v="274"/>
    <n v="33.117647058999999"/>
    <n v="135.33653846199999"/>
    <n v="92"/>
    <n v="154"/>
    <n v="10.043478260869565"/>
  </r>
  <r>
    <n v="541"/>
    <x v="533"/>
    <d v="1994-11-23T00:00:00"/>
    <x v="0"/>
    <n v="26"/>
    <x v="133"/>
    <n v="14.5"/>
    <n v="111.53846153800001"/>
    <m/>
    <m/>
    <s v=""/>
  </r>
  <r>
    <n v="542"/>
    <x v="534"/>
    <m/>
    <x v="1"/>
    <n v="26"/>
    <x v="10"/>
    <n v="6.3333333329999997"/>
    <n v="73.076923077000004"/>
    <m/>
    <m/>
    <s v=""/>
  </r>
  <r>
    <n v="543"/>
    <x v="535"/>
    <d v="1989-10-29T00:00:00"/>
    <x v="0"/>
    <n v="62"/>
    <x v="37"/>
    <n v="16.333333332999999"/>
    <n v="79.032258064999994"/>
    <n v="978"/>
    <n v="1392"/>
    <n v="8.5398773006134974"/>
  </r>
  <r>
    <n v="544"/>
    <x v="536"/>
    <d v="1984-09-17T00:00:00"/>
    <x v="0"/>
    <n v="2"/>
    <x v="1"/>
    <n v="4"/>
    <n v="200"/>
    <n v="371"/>
    <n v="549"/>
    <n v="8.8787061994609164"/>
  </r>
  <r>
    <n v="545"/>
    <x v="537"/>
    <d v="1983-05-09T00:00:00"/>
    <x v="0"/>
    <n v="7"/>
    <x v="35"/>
    <n v="7"/>
    <n v="100"/>
    <n v="212"/>
    <n v="268"/>
    <n v="7.5849056603773581"/>
  </r>
  <r>
    <n v="546"/>
    <x v="538"/>
    <d v="1985-04-23T00:00:00"/>
    <x v="0"/>
    <n v="2"/>
    <x v="13"/>
    <n v="2"/>
    <n v="100"/>
    <n v="32"/>
    <n v="61"/>
    <n v="11.4375"/>
  </r>
  <r>
    <n v="547"/>
    <x v="539"/>
    <d v="1974-11-01T00:00:00"/>
    <x v="0"/>
    <n v="266"/>
    <x v="275"/>
    <n v="17.625"/>
    <n v="106.01503759400001"/>
    <m/>
    <m/>
    <s v=""/>
  </r>
  <r>
    <n v="548"/>
    <x v="540"/>
    <d v="1987-12-21T00:00:00"/>
    <x v="0"/>
    <n v="26"/>
    <x v="6"/>
    <n v="7.5"/>
    <n v="57.692307692"/>
    <n v="359"/>
    <n v="511"/>
    <n v="8.5403899721448457"/>
  </r>
  <r>
    <n v="549"/>
    <x v="541"/>
    <d v="1978-02-16T00:00:00"/>
    <x v="0"/>
    <n v="121"/>
    <x v="276"/>
    <n v="18.571428570999998"/>
    <n v="107.438016529"/>
    <m/>
    <m/>
    <s v=""/>
  </r>
  <r>
    <n v="550"/>
    <x v="542"/>
    <d v="1981-09-20T00:00:00"/>
    <x v="0"/>
    <n v="73"/>
    <x v="277"/>
    <n v="11.2"/>
    <n v="76.712328767000002"/>
    <n v="75"/>
    <n v="98"/>
    <n v="7.84"/>
  </r>
  <r>
    <n v="551"/>
    <x v="543"/>
    <m/>
    <x v="1"/>
    <n v="50"/>
    <x v="269"/>
    <n v="12.5"/>
    <n v="150"/>
    <n v="358"/>
    <n v="467"/>
    <n v="7.8268156424581008"/>
  </r>
  <r>
    <n v="552"/>
    <x v="544"/>
    <d v="1989-07-30T00:00:00"/>
    <x v="3"/>
    <n v="75"/>
    <x v="44"/>
    <n v="7"/>
    <n v="84"/>
    <n v="601"/>
    <n v="731"/>
    <n v="7.2978369384359398"/>
  </r>
  <r>
    <n v="553"/>
    <x v="545"/>
    <d v="1984-10-24T00:00:00"/>
    <x v="0"/>
    <n v="1340"/>
    <x v="228"/>
    <n v="23.878378378000001"/>
    <n v="131.865671642"/>
    <m/>
    <m/>
    <s v=""/>
  </r>
  <r>
    <n v="554"/>
    <x v="546"/>
    <d v="1974-01-27T00:00:00"/>
    <x v="6"/>
    <n v="73"/>
    <x v="160"/>
    <n v="11.571428571"/>
    <n v="110.95890411000001"/>
    <n v="288"/>
    <n v="364"/>
    <n v="7.583333333333333"/>
  </r>
  <r>
    <n v="555"/>
    <x v="547"/>
    <d v="1985-05-15T00:00:00"/>
    <x v="0"/>
    <n v="17"/>
    <x v="36"/>
    <n v="10"/>
    <n v="58.823529411999999"/>
    <m/>
    <m/>
    <s v=""/>
  </r>
  <r>
    <n v="556"/>
    <x v="548"/>
    <d v="1984-08-25T00:00:00"/>
    <x v="0"/>
    <n v="17"/>
    <x v="10"/>
    <n v="19"/>
    <n v="111.764705882"/>
    <n v="6"/>
    <n v="7"/>
    <n v="7"/>
  </r>
  <r>
    <n v="557"/>
    <x v="549"/>
    <d v="1990-01-06T00:00:00"/>
    <x v="0"/>
    <n v="257"/>
    <x v="278"/>
    <n v="19"/>
    <n v="110.89494163400001"/>
    <n v="72"/>
    <n v="125"/>
    <n v="10.416666666666666"/>
  </r>
  <r>
    <n v="558"/>
    <x v="550"/>
    <d v="1982-02-26T00:00:00"/>
    <x v="0"/>
    <n v="834"/>
    <x v="279"/>
    <n v="23.452380951999999"/>
    <n v="118.105515588"/>
    <n v="222"/>
    <n v="338"/>
    <n v="9.1351351351351351"/>
  </r>
  <r>
    <n v="559"/>
    <x v="551"/>
    <d v="1983-01-17T00:00:00"/>
    <x v="0"/>
    <n v="1"/>
    <x v="26"/>
    <m/>
    <n v="0"/>
    <n v="222"/>
    <n v="311"/>
    <n v="8.4054054054054053"/>
  </r>
  <r>
    <n v="560"/>
    <x v="552"/>
    <d v="1981-11-27T00:00:00"/>
    <x v="0"/>
    <n v="66"/>
    <x v="280"/>
    <n v="11.75"/>
    <n v="71.212121212"/>
    <m/>
    <m/>
    <s v=""/>
  </r>
  <r>
    <n v="561"/>
    <x v="553"/>
    <d v="1982-11-17T00:00:00"/>
    <x v="0"/>
    <n v="2240"/>
    <x v="281"/>
    <n v="29.290909091"/>
    <n v="143.839285714"/>
    <n v="1184"/>
    <n v="1443"/>
    <n v="7.3125"/>
  </r>
  <r>
    <n v="562"/>
    <x v="554"/>
    <d v="1977-11-29T00:00:00"/>
    <x v="9"/>
    <n v="7"/>
    <x v="15"/>
    <n v="3"/>
    <n v="42.857142856999999"/>
    <m/>
    <m/>
    <s v=""/>
  </r>
  <r>
    <n v="563"/>
    <x v="555"/>
    <d v="1990-07-23T00:00:00"/>
    <x v="0"/>
    <n v="48"/>
    <x v="114"/>
    <n v="5.5"/>
    <n v="45.833333332999999"/>
    <n v="1841"/>
    <n v="2416"/>
    <n v="7.8739815317762094"/>
  </r>
  <r>
    <n v="564"/>
    <x v="556"/>
    <d v="1981-12-12T00:00:00"/>
    <x v="0"/>
    <n v="2121"/>
    <x v="282"/>
    <n v="25.275229358000001"/>
    <n v="129.89156058500001"/>
    <n v="882"/>
    <n v="1092"/>
    <n v="7.4285714285714288"/>
  </r>
  <r>
    <n v="565"/>
    <x v="557"/>
    <d v="1984-11-05T00:00:00"/>
    <x v="0"/>
    <n v="178"/>
    <x v="283"/>
    <n v="24"/>
    <n v="107.865168539"/>
    <m/>
    <m/>
    <s v=""/>
  </r>
  <r>
    <n v="566"/>
    <x v="558"/>
    <d v="1978-10-07T00:00:00"/>
    <x v="0"/>
    <n v="138"/>
    <x v="182"/>
    <n v="7.8"/>
    <n v="84.782608695999997"/>
    <n v="2276"/>
    <n v="2860"/>
    <n v="7.5395430579964851"/>
  </r>
  <r>
    <m/>
    <x v="559"/>
    <m/>
    <x v="1"/>
    <m/>
    <x v="1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D760D0-372F-4585-8A79-E92B2CBB3E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4" firstHeaderRow="1" firstDataRow="1" firstDataCol="1"/>
  <pivotFields count="11">
    <pivotField showAll="0"/>
    <pivotField dataField="1"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showAll="0"/>
    <pivotField axis="axisRow" showAll="0">
      <items count="13">
        <item x="4"/>
        <item x="5"/>
        <item x="2"/>
        <item x="0"/>
        <item x="10"/>
        <item x="8"/>
        <item x="9"/>
        <item x="3"/>
        <item x="6"/>
        <item x="7"/>
        <item x="11"/>
        <item x="1"/>
        <item t="default"/>
      </items>
    </pivotField>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Play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F4A1B7-DD62-41A7-AD92-3425648657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14" firstHeaderRow="1" firstDataRow="1" firstDataCol="1"/>
  <pivotFields count="11">
    <pivotField showAll="0"/>
    <pivotField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showAll="0"/>
    <pivotField axis="axisRow" showAll="0">
      <items count="13">
        <item x="4"/>
        <item x="5"/>
        <item x="2"/>
        <item x="0"/>
        <item x="10"/>
        <item x="8"/>
        <item x="9"/>
        <item x="3"/>
        <item x="6"/>
        <item x="7"/>
        <item x="11"/>
        <item x="1"/>
        <item t="default"/>
      </items>
    </pivotField>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Bowls Delivered" fld="8" baseField="0" baseItem="0"/>
  </dataFields>
  <chartFormats count="26">
    <chartFormat chart="0" format="0"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3" count="1" selected="0">
            <x v="0"/>
          </reference>
        </references>
      </pivotArea>
    </chartFormat>
    <chartFormat chart="13" format="16">
      <pivotArea type="data" outline="0" fieldPosition="0">
        <references count="2">
          <reference field="4294967294" count="1" selected="0">
            <x v="0"/>
          </reference>
          <reference field="3" count="1" selected="0">
            <x v="1"/>
          </reference>
        </references>
      </pivotArea>
    </chartFormat>
    <chartFormat chart="13" format="17">
      <pivotArea type="data" outline="0" fieldPosition="0">
        <references count="2">
          <reference field="4294967294" count="1" selected="0">
            <x v="0"/>
          </reference>
          <reference field="3" count="1" selected="0">
            <x v="2"/>
          </reference>
        </references>
      </pivotArea>
    </chartFormat>
    <chartFormat chart="13" format="18">
      <pivotArea type="data" outline="0" fieldPosition="0">
        <references count="2">
          <reference field="4294967294" count="1" selected="0">
            <x v="0"/>
          </reference>
          <reference field="3" count="1" selected="0">
            <x v="3"/>
          </reference>
        </references>
      </pivotArea>
    </chartFormat>
    <chartFormat chart="13" format="19">
      <pivotArea type="data" outline="0" fieldPosition="0">
        <references count="2">
          <reference field="4294967294" count="1" selected="0">
            <x v="0"/>
          </reference>
          <reference field="3" count="1" selected="0">
            <x v="4"/>
          </reference>
        </references>
      </pivotArea>
    </chartFormat>
    <chartFormat chart="13" format="20">
      <pivotArea type="data" outline="0" fieldPosition="0">
        <references count="2">
          <reference field="4294967294" count="1" selected="0">
            <x v="0"/>
          </reference>
          <reference field="3" count="1" selected="0">
            <x v="5"/>
          </reference>
        </references>
      </pivotArea>
    </chartFormat>
    <chartFormat chart="13" format="21">
      <pivotArea type="data" outline="0" fieldPosition="0">
        <references count="2">
          <reference field="4294967294" count="1" selected="0">
            <x v="0"/>
          </reference>
          <reference field="3" count="1" selected="0">
            <x v="6"/>
          </reference>
        </references>
      </pivotArea>
    </chartFormat>
    <chartFormat chart="13" format="22">
      <pivotArea type="data" outline="0" fieldPosition="0">
        <references count="2">
          <reference field="4294967294" count="1" selected="0">
            <x v="0"/>
          </reference>
          <reference field="3" count="1" selected="0">
            <x v="7"/>
          </reference>
        </references>
      </pivotArea>
    </chartFormat>
    <chartFormat chart="13" format="23">
      <pivotArea type="data" outline="0" fieldPosition="0">
        <references count="2">
          <reference field="4294967294" count="1" selected="0">
            <x v="0"/>
          </reference>
          <reference field="3" count="1" selected="0">
            <x v="8"/>
          </reference>
        </references>
      </pivotArea>
    </chartFormat>
    <chartFormat chart="13" format="24">
      <pivotArea type="data" outline="0" fieldPosition="0">
        <references count="2">
          <reference field="4294967294" count="1" selected="0">
            <x v="0"/>
          </reference>
          <reference field="3" count="1" selected="0">
            <x v="9"/>
          </reference>
        </references>
      </pivotArea>
    </chartFormat>
    <chartFormat chart="13" format="25">
      <pivotArea type="data" outline="0" fieldPosition="0">
        <references count="2">
          <reference field="4294967294" count="1" selected="0">
            <x v="0"/>
          </reference>
          <reference field="3" count="1" selected="0">
            <x v="10"/>
          </reference>
        </references>
      </pivotArea>
    </chartFormat>
    <chartFormat chart="13" format="26">
      <pivotArea type="data" outline="0" fieldPosition="0">
        <references count="2">
          <reference field="4294967294" count="1" selected="0">
            <x v="0"/>
          </reference>
          <reference field="3" count="1" selected="0">
            <x v="1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 chart="0" format="11">
      <pivotArea type="data" outline="0" fieldPosition="0">
        <references count="2">
          <reference field="4294967294" count="1" selected="0">
            <x v="0"/>
          </reference>
          <reference field="3" count="1" selected="0">
            <x v="10"/>
          </reference>
        </references>
      </pivotArea>
    </chartFormat>
    <chartFormat chart="0" format="12">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50858-0709-4637-AF80-24CD581A67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4" firstHeaderRow="0" firstDataRow="1" firstDataCol="1"/>
  <pivotFields count="11">
    <pivotField showAll="0"/>
    <pivotField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showAll="0"/>
    <pivotField axis="axisRow" showAll="0">
      <items count="13">
        <item x="4"/>
        <item x="5"/>
        <item x="2"/>
        <item x="0"/>
        <item x="10"/>
        <item x="8"/>
        <item x="9"/>
        <item x="3"/>
        <item x="6"/>
        <item x="7"/>
        <item x="11"/>
        <item x="1"/>
        <item t="default"/>
      </items>
    </pivotField>
    <pivotField dataField="1" showAll="0"/>
    <pivotField dataField="1" showAll="0">
      <items count="285">
        <item x="26"/>
        <item x="66"/>
        <item x="13"/>
        <item x="15"/>
        <item x="1"/>
        <item x="16"/>
        <item x="59"/>
        <item x="35"/>
        <item x="82"/>
        <item x="20"/>
        <item x="36"/>
        <item x="64"/>
        <item x="18"/>
        <item x="88"/>
        <item x="110"/>
        <item x="6"/>
        <item x="83"/>
        <item x="50"/>
        <item x="68"/>
        <item x="10"/>
        <item x="29"/>
        <item x="75"/>
        <item x="114"/>
        <item x="71"/>
        <item x="109"/>
        <item x="3"/>
        <item x="24"/>
        <item x="168"/>
        <item x="133"/>
        <item x="170"/>
        <item x="241"/>
        <item x="61"/>
        <item x="87"/>
        <item x="9"/>
        <item x="7"/>
        <item x="43"/>
        <item x="46"/>
        <item x="140"/>
        <item x="54"/>
        <item x="72"/>
        <item x="11"/>
        <item x="22"/>
        <item x="263"/>
        <item x="158"/>
        <item x="280"/>
        <item x="37"/>
        <item x="231"/>
        <item x="149"/>
        <item x="200"/>
        <item x="2"/>
        <item x="132"/>
        <item x="125"/>
        <item x="277"/>
        <item x="234"/>
        <item x="4"/>
        <item x="44"/>
        <item x="190"/>
        <item x="218"/>
        <item x="119"/>
        <item x="17"/>
        <item x="146"/>
        <item x="100"/>
        <item x="167"/>
        <item x="269"/>
        <item x="56"/>
        <item x="209"/>
        <item x="31"/>
        <item x="160"/>
        <item x="224"/>
        <item x="129"/>
        <item x="47"/>
        <item x="127"/>
        <item x="33"/>
        <item x="230"/>
        <item x="39"/>
        <item x="236"/>
        <item x="175"/>
        <item x="81"/>
        <item x="196"/>
        <item x="104"/>
        <item x="226"/>
        <item x="223"/>
        <item x="137"/>
        <item x="124"/>
        <item x="96"/>
        <item x="166"/>
        <item x="219"/>
        <item x="89"/>
        <item x="182"/>
        <item x="27"/>
        <item x="101"/>
        <item x="271"/>
        <item x="25"/>
        <item x="58"/>
        <item x="63"/>
        <item x="171"/>
        <item x="90"/>
        <item x="148"/>
        <item x="239"/>
        <item x="276"/>
        <item x="245"/>
        <item x="233"/>
        <item x="244"/>
        <item x="191"/>
        <item x="145"/>
        <item x="252"/>
        <item x="5"/>
        <item x="214"/>
        <item x="216"/>
        <item x="45"/>
        <item x="188"/>
        <item x="206"/>
        <item x="106"/>
        <item x="189"/>
        <item x="181"/>
        <item x="85"/>
        <item x="94"/>
        <item x="180"/>
        <item x="74"/>
        <item x="21"/>
        <item x="30"/>
        <item x="86"/>
        <item x="112"/>
        <item x="57"/>
        <item x="67"/>
        <item x="283"/>
        <item x="70"/>
        <item x="51"/>
        <item x="254"/>
        <item x="250"/>
        <item x="208"/>
        <item x="268"/>
        <item x="19"/>
        <item x="144"/>
        <item x="193"/>
        <item x="178"/>
        <item x="65"/>
        <item x="251"/>
        <item x="165"/>
        <item x="217"/>
        <item x="183"/>
        <item x="184"/>
        <item x="0"/>
        <item x="275"/>
        <item x="278"/>
        <item x="99"/>
        <item x="270"/>
        <item x="161"/>
        <item x="73"/>
        <item x="220"/>
        <item x="159"/>
        <item x="227"/>
        <item x="138"/>
        <item x="265"/>
        <item x="48"/>
        <item x="203"/>
        <item x="213"/>
        <item x="204"/>
        <item x="8"/>
        <item x="240"/>
        <item x="93"/>
        <item x="212"/>
        <item x="55"/>
        <item x="77"/>
        <item x="197"/>
        <item x="40"/>
        <item x="163"/>
        <item x="131"/>
        <item x="253"/>
        <item x="143"/>
        <item x="242"/>
        <item x="199"/>
        <item x="107"/>
        <item x="118"/>
        <item x="105"/>
        <item x="130"/>
        <item x="192"/>
        <item x="207"/>
        <item x="202"/>
        <item x="238"/>
        <item x="169"/>
        <item x="79"/>
        <item x="97"/>
        <item x="142"/>
        <item x="229"/>
        <item x="80"/>
        <item x="274"/>
        <item x="123"/>
        <item x="210"/>
        <item x="136"/>
        <item x="243"/>
        <item x="60"/>
        <item x="116"/>
        <item x="41"/>
        <item x="266"/>
        <item x="128"/>
        <item x="32"/>
        <item x="115"/>
        <item x="248"/>
        <item x="222"/>
        <item x="261"/>
        <item x="255"/>
        <item x="194"/>
        <item x="49"/>
        <item x="120"/>
        <item x="108"/>
        <item x="262"/>
        <item x="121"/>
        <item x="152"/>
        <item x="177"/>
        <item x="84"/>
        <item x="14"/>
        <item x="134"/>
        <item x="279"/>
        <item x="52"/>
        <item x="156"/>
        <item x="173"/>
        <item x="164"/>
        <item x="162"/>
        <item x="122"/>
        <item x="155"/>
        <item x="198"/>
        <item x="187"/>
        <item x="126"/>
        <item x="267"/>
        <item x="174"/>
        <item x="260"/>
        <item x="76"/>
        <item x="157"/>
        <item x="98"/>
        <item x="246"/>
        <item x="135"/>
        <item x="69"/>
        <item x="117"/>
        <item x="34"/>
        <item x="235"/>
        <item x="153"/>
        <item x="211"/>
        <item x="95"/>
        <item x="176"/>
        <item x="201"/>
        <item x="150"/>
        <item x="259"/>
        <item x="186"/>
        <item x="38"/>
        <item x="228"/>
        <item x="102"/>
        <item x="91"/>
        <item x="111"/>
        <item x="221"/>
        <item x="179"/>
        <item x="154"/>
        <item x="141"/>
        <item x="256"/>
        <item x="28"/>
        <item x="215"/>
        <item x="264"/>
        <item x="257"/>
        <item x="103"/>
        <item x="139"/>
        <item x="247"/>
        <item x="172"/>
        <item x="273"/>
        <item x="282"/>
        <item x="147"/>
        <item x="185"/>
        <item x="205"/>
        <item x="62"/>
        <item x="281"/>
        <item x="53"/>
        <item x="258"/>
        <item x="151"/>
        <item x="42"/>
        <item x="113"/>
        <item x="23"/>
        <item x="232"/>
        <item x="195"/>
        <item x="78"/>
        <item x="237"/>
        <item x="92"/>
        <item x="225"/>
        <item x="249"/>
        <item x="272"/>
        <item x="12"/>
        <item t="default"/>
      </items>
    </pivotField>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Balls Played" fld="4" baseField="0" baseItem="0"/>
    <dataField name="Sum of Runs Scored" fld="5"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24C9E-D36F-4D2E-9ADC-E25D5775D7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14" firstHeaderRow="0" firstDataRow="1" firstDataCol="1"/>
  <pivotFields count="11">
    <pivotField showAll="0"/>
    <pivotField showAll="0">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t="default"/>
      </items>
    </pivotField>
    <pivotField showAll="0"/>
    <pivotField axis="axisRow" showAll="0">
      <items count="13">
        <item x="4"/>
        <item x="5"/>
        <item x="2"/>
        <item x="0"/>
        <item x="10"/>
        <item x="8"/>
        <item x="9"/>
        <item x="3"/>
        <item x="6"/>
        <item x="7"/>
        <item x="11"/>
        <item x="1"/>
        <item t="default"/>
      </items>
    </pivotField>
    <pivotField showAll="0"/>
    <pivotField showAll="0"/>
    <pivotField dataField="1"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Strike Rate" fld="7" baseField="0" baseItem="0"/>
    <dataField name="Sum of Batting Average" fld="6" baseField="0" baseItem="0"/>
  </dataFields>
  <chartFormats count="5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3" count="1" selected="0">
            <x v="0"/>
          </reference>
        </references>
      </pivotArea>
    </chartFormat>
    <chartFormat chart="6" format="32">
      <pivotArea type="data" outline="0" fieldPosition="0">
        <references count="2">
          <reference field="4294967294" count="1" selected="0">
            <x v="0"/>
          </reference>
          <reference field="3" count="1" selected="0">
            <x v="1"/>
          </reference>
        </references>
      </pivotArea>
    </chartFormat>
    <chartFormat chart="6" format="33">
      <pivotArea type="data" outline="0" fieldPosition="0">
        <references count="2">
          <reference field="4294967294" count="1" selected="0">
            <x v="0"/>
          </reference>
          <reference field="3" count="1" selected="0">
            <x v="2"/>
          </reference>
        </references>
      </pivotArea>
    </chartFormat>
    <chartFormat chart="6" format="34">
      <pivotArea type="data" outline="0" fieldPosition="0">
        <references count="2">
          <reference field="4294967294" count="1" selected="0">
            <x v="0"/>
          </reference>
          <reference field="3" count="1" selected="0">
            <x v="3"/>
          </reference>
        </references>
      </pivotArea>
    </chartFormat>
    <chartFormat chart="6" format="35">
      <pivotArea type="data" outline="0" fieldPosition="0">
        <references count="2">
          <reference field="4294967294" count="1" selected="0">
            <x v="0"/>
          </reference>
          <reference field="3" count="1" selected="0">
            <x v="4"/>
          </reference>
        </references>
      </pivotArea>
    </chartFormat>
    <chartFormat chart="6" format="36">
      <pivotArea type="data" outline="0" fieldPosition="0">
        <references count="2">
          <reference field="4294967294" count="1" selected="0">
            <x v="0"/>
          </reference>
          <reference field="3" count="1" selected="0">
            <x v="5"/>
          </reference>
        </references>
      </pivotArea>
    </chartFormat>
    <chartFormat chart="6" format="37">
      <pivotArea type="data" outline="0" fieldPosition="0">
        <references count="2">
          <reference field="4294967294" count="1" selected="0">
            <x v="0"/>
          </reference>
          <reference field="3" count="1" selected="0">
            <x v="6"/>
          </reference>
        </references>
      </pivotArea>
    </chartFormat>
    <chartFormat chart="6" format="38">
      <pivotArea type="data" outline="0" fieldPosition="0">
        <references count="2">
          <reference field="4294967294" count="1" selected="0">
            <x v="0"/>
          </reference>
          <reference field="3" count="1" selected="0">
            <x v="7"/>
          </reference>
        </references>
      </pivotArea>
    </chartFormat>
    <chartFormat chart="6" format="39">
      <pivotArea type="data" outline="0" fieldPosition="0">
        <references count="2">
          <reference field="4294967294" count="1" selected="0">
            <x v="0"/>
          </reference>
          <reference field="3" count="1" selected="0">
            <x v="8"/>
          </reference>
        </references>
      </pivotArea>
    </chartFormat>
    <chartFormat chart="6" format="40">
      <pivotArea type="data" outline="0" fieldPosition="0">
        <references count="2">
          <reference field="4294967294" count="1" selected="0">
            <x v="0"/>
          </reference>
          <reference field="3" count="1" selected="0">
            <x v="9"/>
          </reference>
        </references>
      </pivotArea>
    </chartFormat>
    <chartFormat chart="6" format="41">
      <pivotArea type="data" outline="0" fieldPosition="0">
        <references count="2">
          <reference field="4294967294" count="1" selected="0">
            <x v="0"/>
          </reference>
          <reference field="3" count="1" selected="0">
            <x v="10"/>
          </reference>
        </references>
      </pivotArea>
    </chartFormat>
    <chartFormat chart="6" format="42">
      <pivotArea type="data" outline="0" fieldPosition="0">
        <references count="2">
          <reference field="4294967294" count="1" selected="0">
            <x v="0"/>
          </reference>
          <reference field="3" count="1" selected="0">
            <x v="11"/>
          </reference>
        </references>
      </pivotArea>
    </chartFormat>
    <chartFormat chart="6" format="43" series="1">
      <pivotArea type="data" outline="0" fieldPosition="0">
        <references count="1">
          <reference field="4294967294" count="1" selected="0">
            <x v="1"/>
          </reference>
        </references>
      </pivotArea>
    </chartFormat>
    <chartFormat chart="6" format="44">
      <pivotArea type="data" outline="0" fieldPosition="0">
        <references count="2">
          <reference field="4294967294" count="1" selected="0">
            <x v="1"/>
          </reference>
          <reference field="3" count="1" selected="0">
            <x v="0"/>
          </reference>
        </references>
      </pivotArea>
    </chartFormat>
    <chartFormat chart="6" format="45">
      <pivotArea type="data" outline="0" fieldPosition="0">
        <references count="2">
          <reference field="4294967294" count="1" selected="0">
            <x v="1"/>
          </reference>
          <reference field="3" count="1" selected="0">
            <x v="1"/>
          </reference>
        </references>
      </pivotArea>
    </chartFormat>
    <chartFormat chart="6" format="46">
      <pivotArea type="data" outline="0" fieldPosition="0">
        <references count="2">
          <reference field="4294967294" count="1" selected="0">
            <x v="1"/>
          </reference>
          <reference field="3" count="1" selected="0">
            <x v="2"/>
          </reference>
        </references>
      </pivotArea>
    </chartFormat>
    <chartFormat chart="6" format="47">
      <pivotArea type="data" outline="0" fieldPosition="0">
        <references count="2">
          <reference field="4294967294" count="1" selected="0">
            <x v="1"/>
          </reference>
          <reference field="3" count="1" selected="0">
            <x v="3"/>
          </reference>
        </references>
      </pivotArea>
    </chartFormat>
    <chartFormat chart="6" format="48">
      <pivotArea type="data" outline="0" fieldPosition="0">
        <references count="2">
          <reference field="4294967294" count="1" selected="0">
            <x v="1"/>
          </reference>
          <reference field="3" count="1" selected="0">
            <x v="4"/>
          </reference>
        </references>
      </pivotArea>
    </chartFormat>
    <chartFormat chart="6" format="49">
      <pivotArea type="data" outline="0" fieldPosition="0">
        <references count="2">
          <reference field="4294967294" count="1" selected="0">
            <x v="1"/>
          </reference>
          <reference field="3" count="1" selected="0">
            <x v="5"/>
          </reference>
        </references>
      </pivotArea>
    </chartFormat>
    <chartFormat chart="6" format="50">
      <pivotArea type="data" outline="0" fieldPosition="0">
        <references count="2">
          <reference field="4294967294" count="1" selected="0">
            <x v="1"/>
          </reference>
          <reference field="3" count="1" selected="0">
            <x v="6"/>
          </reference>
        </references>
      </pivotArea>
    </chartFormat>
    <chartFormat chart="6" format="51">
      <pivotArea type="data" outline="0" fieldPosition="0">
        <references count="2">
          <reference field="4294967294" count="1" selected="0">
            <x v="1"/>
          </reference>
          <reference field="3" count="1" selected="0">
            <x v="7"/>
          </reference>
        </references>
      </pivotArea>
    </chartFormat>
    <chartFormat chart="6" format="52">
      <pivotArea type="data" outline="0" fieldPosition="0">
        <references count="2">
          <reference field="4294967294" count="1" selected="0">
            <x v="1"/>
          </reference>
          <reference field="3" count="1" selected="0">
            <x v="8"/>
          </reference>
        </references>
      </pivotArea>
    </chartFormat>
    <chartFormat chart="6" format="53">
      <pivotArea type="data" outline="0" fieldPosition="0">
        <references count="2">
          <reference field="4294967294" count="1" selected="0">
            <x v="1"/>
          </reference>
          <reference field="3" count="1" selected="0">
            <x v="9"/>
          </reference>
        </references>
      </pivotArea>
    </chartFormat>
    <chartFormat chart="6" format="54">
      <pivotArea type="data" outline="0" fieldPosition="0">
        <references count="2">
          <reference field="4294967294" count="1" selected="0">
            <x v="1"/>
          </reference>
          <reference field="3" count="1" selected="0">
            <x v="10"/>
          </reference>
        </references>
      </pivotArea>
    </chartFormat>
    <chartFormat chart="6" format="55">
      <pivotArea type="data" outline="0" fieldPosition="0">
        <references count="2">
          <reference field="4294967294" count="1" selected="0">
            <x v="1"/>
          </reference>
          <reference field="3" count="1" selected="0">
            <x v="11"/>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4"/>
          </reference>
        </references>
      </pivotArea>
    </chartFormat>
    <chartFormat chart="0" format="9">
      <pivotArea type="data" outline="0" fieldPosition="0">
        <references count="2">
          <reference field="4294967294" count="1" selected="0">
            <x v="0"/>
          </reference>
          <reference field="3" count="1" selected="0">
            <x v="5"/>
          </reference>
        </references>
      </pivotArea>
    </chartFormat>
    <chartFormat chart="0" format="10">
      <pivotArea type="data" outline="0" fieldPosition="0">
        <references count="2">
          <reference field="4294967294" count="1" selected="0">
            <x v="0"/>
          </reference>
          <reference field="3" count="1" selected="0">
            <x v="6"/>
          </reference>
        </references>
      </pivotArea>
    </chartFormat>
    <chartFormat chart="0" format="11">
      <pivotArea type="data" outline="0" fieldPosition="0">
        <references count="2">
          <reference field="4294967294" count="1" selected="0">
            <x v="0"/>
          </reference>
          <reference field="3" count="1" selected="0">
            <x v="7"/>
          </reference>
        </references>
      </pivotArea>
    </chartFormat>
    <chartFormat chart="0" format="12">
      <pivotArea type="data" outline="0" fieldPosition="0">
        <references count="2">
          <reference field="4294967294" count="1" selected="0">
            <x v="0"/>
          </reference>
          <reference field="3" count="1" selected="0">
            <x v="8"/>
          </reference>
        </references>
      </pivotArea>
    </chartFormat>
    <chartFormat chart="0" format="13">
      <pivotArea type="data" outline="0" fieldPosition="0">
        <references count="2">
          <reference field="4294967294" count="1" selected="0">
            <x v="0"/>
          </reference>
          <reference field="3" count="1" selected="0">
            <x v="9"/>
          </reference>
        </references>
      </pivotArea>
    </chartFormat>
    <chartFormat chart="0" format="14">
      <pivotArea type="data" outline="0" fieldPosition="0">
        <references count="2">
          <reference field="4294967294" count="1" selected="0">
            <x v="0"/>
          </reference>
          <reference field="3" count="1" selected="0">
            <x v="10"/>
          </reference>
        </references>
      </pivotArea>
    </chartFormat>
    <chartFormat chart="0" format="15">
      <pivotArea type="data" outline="0" fieldPosition="0">
        <references count="2">
          <reference field="4294967294" count="1" selected="0">
            <x v="0"/>
          </reference>
          <reference field="3" count="1" selected="0">
            <x v="11"/>
          </reference>
        </references>
      </pivotArea>
    </chartFormat>
    <chartFormat chart="0" format="16">
      <pivotArea type="data" outline="0" fieldPosition="0">
        <references count="2">
          <reference field="4294967294" count="1" selected="0">
            <x v="1"/>
          </reference>
          <reference field="3" count="1" selected="0">
            <x v="0"/>
          </reference>
        </references>
      </pivotArea>
    </chartFormat>
    <chartFormat chart="0" format="17">
      <pivotArea type="data" outline="0" fieldPosition="0">
        <references count="2">
          <reference field="4294967294" count="1" selected="0">
            <x v="1"/>
          </reference>
          <reference field="3" count="1" selected="0">
            <x v="1"/>
          </reference>
        </references>
      </pivotArea>
    </chartFormat>
    <chartFormat chart="0" format="18">
      <pivotArea type="data" outline="0" fieldPosition="0">
        <references count="2">
          <reference field="4294967294" count="1" selected="0">
            <x v="1"/>
          </reference>
          <reference field="3" count="1" selected="0">
            <x v="2"/>
          </reference>
        </references>
      </pivotArea>
    </chartFormat>
    <chartFormat chart="0" format="19">
      <pivotArea type="data" outline="0" fieldPosition="0">
        <references count="2">
          <reference field="4294967294" count="1" selected="0">
            <x v="1"/>
          </reference>
          <reference field="3" count="1" selected="0">
            <x v="3"/>
          </reference>
        </references>
      </pivotArea>
    </chartFormat>
    <chartFormat chart="0" format="20">
      <pivotArea type="data" outline="0" fieldPosition="0">
        <references count="2">
          <reference field="4294967294" count="1" selected="0">
            <x v="1"/>
          </reference>
          <reference field="3" count="1" selected="0">
            <x v="4"/>
          </reference>
        </references>
      </pivotArea>
    </chartFormat>
    <chartFormat chart="0" format="21">
      <pivotArea type="data" outline="0" fieldPosition="0">
        <references count="2">
          <reference field="4294967294" count="1" selected="0">
            <x v="1"/>
          </reference>
          <reference field="3" count="1" selected="0">
            <x v="5"/>
          </reference>
        </references>
      </pivotArea>
    </chartFormat>
    <chartFormat chart="0" format="22">
      <pivotArea type="data" outline="0" fieldPosition="0">
        <references count="2">
          <reference field="4294967294" count="1" selected="0">
            <x v="1"/>
          </reference>
          <reference field="3" count="1" selected="0">
            <x v="6"/>
          </reference>
        </references>
      </pivotArea>
    </chartFormat>
    <chartFormat chart="0" format="23">
      <pivotArea type="data" outline="0" fieldPosition="0">
        <references count="2">
          <reference field="4294967294" count="1" selected="0">
            <x v="1"/>
          </reference>
          <reference field="3" count="1" selected="0">
            <x v="7"/>
          </reference>
        </references>
      </pivotArea>
    </chartFormat>
    <chartFormat chart="0" format="24">
      <pivotArea type="data" outline="0" fieldPosition="0">
        <references count="2">
          <reference field="4294967294" count="1" selected="0">
            <x v="1"/>
          </reference>
          <reference field="3" count="1" selected="0">
            <x v="8"/>
          </reference>
        </references>
      </pivotArea>
    </chartFormat>
    <chartFormat chart="0" format="25">
      <pivotArea type="data" outline="0" fieldPosition="0">
        <references count="2">
          <reference field="4294967294" count="1" selected="0">
            <x v="1"/>
          </reference>
          <reference field="3" count="1" selected="0">
            <x v="9"/>
          </reference>
        </references>
      </pivotArea>
    </chartFormat>
    <chartFormat chart="0" format="26">
      <pivotArea type="data" outline="0" fieldPosition="0">
        <references count="2">
          <reference field="4294967294" count="1" selected="0">
            <x v="1"/>
          </reference>
          <reference field="3" count="1" selected="0">
            <x v="10"/>
          </reference>
        </references>
      </pivotArea>
    </chartFormat>
    <chartFormat chart="0" format="27">
      <pivotArea type="data" outline="0" fieldPosition="0">
        <references count="2">
          <reference field="4294967294" count="1" selected="0">
            <x v="1"/>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4C46F75-2B0F-456D-9F33-9BBD821480AE}" sourceName="Country">
  <pivotTables>
    <pivotTable tabId="6" name="PivotTable1"/>
    <pivotTable tabId="7" name="PivotTable2"/>
    <pivotTable tabId="8" name="PivotTable3"/>
    <pivotTable tabId="9" name="PivotTable4"/>
  </pivotTables>
  <data>
    <tabular pivotCacheId="964218259">
      <items count="12">
        <i x="4" s="1"/>
        <i x="5" s="1"/>
        <i x="2" s="1"/>
        <i x="0" s="1"/>
        <i x="10" s="1"/>
        <i x="8" s="1"/>
        <i x="9" s="1"/>
        <i x="3" s="1"/>
        <i x="6" s="1"/>
        <i x="7"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C8E192A2-D3DA-4DA0-BDED-CA3EB02ADC09}" sourceName="Player Name">
  <pivotTables>
    <pivotTable tabId="7" name="PivotTable2"/>
    <pivotTable tabId="6" name="PivotTable1"/>
    <pivotTable tabId="8" name="PivotTable3"/>
    <pivotTable tabId="9" name="PivotTable4"/>
  </pivotTables>
  <data>
    <tabular pivotCacheId="964218259">
      <items count="56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AFC836C-6EAE-4452-A365-58BD1B6D7DC6}" cache="Slicer_Country" caption="Country" startItem="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Name" xr10:uid="{B7C671F2-0328-40FC-BB97-459B4BD00792}" cache="Slicer_Player_Name" caption="Player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CE36BC0-2655-45A1-A5F8-0E2C6D91D426}" cache="Slicer_Country" caption="Count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95445BA4-B07C-4D78-B8A0-6725840192E3}" cache="Slicer_Country" caption="Country" rowHeight="247650"/>
  <slicer name="Player Name 1" xr10:uid="{05624B20-9841-4340-A08C-66861E245BFC}" cache="Slicer_Player_Name" caption="Player Name" startItem="87"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45E8FC-BE5E-468A-A87A-7E8F3454D5A2}" name="player_info" displayName="player_info" ref="A1:K560" totalsRowShown="0" headerRowDxfId="15" headerRowBorderDxfId="14">
  <autoFilter ref="A1:K560" xr:uid="{F945E8FC-BE5E-468A-A87A-7E8F3454D5A2}"/>
  <sortState xmlns:xlrd2="http://schemas.microsoft.com/office/spreadsheetml/2017/richdata2" ref="A2:K560">
    <sortCondition ref="A1:A560"/>
  </sortState>
  <tableColumns count="11">
    <tableColumn id="1" xr3:uid="{BB29448D-206D-400C-9192-90F5A83B81A7}" name="Player ID" dataDxfId="13"/>
    <tableColumn id="2" xr3:uid="{D7CC8C89-EA62-45F9-8785-83BA12F0C305}" name="Player Name"/>
    <tableColumn id="3" xr3:uid="{9DA8FAFB-301B-4118-9970-FCC3EE652D39}" name="DOB" dataDxfId="12"/>
    <tableColumn id="4" xr3:uid="{D5E55EB4-CD98-49E7-AC8D-3D8C6361AA93}" name="Country"/>
    <tableColumn id="5" xr3:uid="{7D4D5121-EF3C-472F-ADD3-2F4E802EAAA2}" name="Balls Played" dataDxfId="11"/>
    <tableColumn id="6" xr3:uid="{33116E63-28D7-47FC-AC0D-F32A1DABA2FA}" name="Runs Scored" dataDxfId="10"/>
    <tableColumn id="7" xr3:uid="{FF3D1856-C303-4016-AECE-CA5C592A89DF}" name="Batting Average" dataDxfId="9"/>
    <tableColumn id="8" xr3:uid="{0701899F-3727-4C6E-BD07-060C2B624976}" name="Strike Rate" dataDxfId="8"/>
    <tableColumn id="9" xr3:uid="{ED36DB09-220E-4CE8-A512-BFA69E202590}" name="Bowls Delivered" dataDxfId="7"/>
    <tableColumn id="10" xr3:uid="{3F3AF3FC-B1CB-4423-B038-7DCB93F2B7AC}" name="Total Runs" dataDxfId="6"/>
    <tableColumn id="11" xr3:uid="{D4D8A57E-67E6-4AFE-B862-4A3E7F9E65F1}" name="Economy" dataDxfId="5">
      <calculatedColumnFormula>IF(J2&lt;&gt;0,J2/(I2/6),"")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D77468-8DC6-4197-9167-290C699CDA40}" name="Table35" displayName="Table35" ref="A1:C18" totalsRowShown="0" headerRowDxfId="4" dataDxfId="3">
  <autoFilter ref="A1:C18" xr:uid="{60D77468-8DC6-4197-9167-290C699CDA40}"/>
  <tableColumns count="3">
    <tableColumn id="1" xr3:uid="{96BB3D7D-9AD5-4D9B-B734-A7DEB03DAA86}" name="Sl.No" dataDxfId="2"/>
    <tableColumn id="2" xr3:uid="{C9CC5675-0EC7-4AD9-A865-59731AC7E9C4}" name="Analysis to performed" dataDxfId="1"/>
    <tableColumn id="3" xr3:uid="{A099D2B0-C0A6-40DE-912E-B4F5C18E49AC}" name="Solution"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3C07-C4F0-46B0-9D4A-97E2C0DD7DC9}">
  <dimension ref="A1:B14"/>
  <sheetViews>
    <sheetView workbookViewId="0">
      <selection activeCell="J20" sqref="J20"/>
    </sheetView>
  </sheetViews>
  <sheetFormatPr defaultRowHeight="14.4" x14ac:dyDescent="0.3"/>
  <cols>
    <col min="1" max="1" width="12.44140625" bestFit="1" customWidth="1"/>
    <col min="2" max="2" width="18.88671875" bestFit="1" customWidth="1"/>
  </cols>
  <sheetData>
    <row r="1" spans="1:2" x14ac:dyDescent="0.3">
      <c r="A1" s="13" t="s">
        <v>617</v>
      </c>
      <c r="B1" t="s">
        <v>620</v>
      </c>
    </row>
    <row r="2" spans="1:2" x14ac:dyDescent="0.3">
      <c r="A2" s="14" t="s">
        <v>4</v>
      </c>
      <c r="B2" s="23">
        <v>72</v>
      </c>
    </row>
    <row r="3" spans="1:2" x14ac:dyDescent="0.3">
      <c r="A3" s="14" t="s">
        <v>84</v>
      </c>
      <c r="B3" s="23">
        <v>5</v>
      </c>
    </row>
    <row r="4" spans="1:2" x14ac:dyDescent="0.3">
      <c r="A4" s="14" t="s">
        <v>6</v>
      </c>
      <c r="B4" s="23">
        <v>14</v>
      </c>
    </row>
    <row r="5" spans="1:2" x14ac:dyDescent="0.3">
      <c r="A5" s="14" t="s">
        <v>3</v>
      </c>
      <c r="B5" s="23">
        <v>257</v>
      </c>
    </row>
    <row r="6" spans="1:2" x14ac:dyDescent="0.3">
      <c r="A6" s="14" t="s">
        <v>458</v>
      </c>
      <c r="B6" s="23">
        <v>1</v>
      </c>
    </row>
    <row r="7" spans="1:2" x14ac:dyDescent="0.3">
      <c r="A7" s="14" t="s">
        <v>15</v>
      </c>
      <c r="B7" s="23">
        <v>22</v>
      </c>
    </row>
    <row r="8" spans="1:2" x14ac:dyDescent="0.3">
      <c r="A8" s="14" t="s">
        <v>5</v>
      </c>
      <c r="B8" s="23">
        <v>13</v>
      </c>
    </row>
    <row r="9" spans="1:2" x14ac:dyDescent="0.3">
      <c r="A9" s="14" t="s">
        <v>7</v>
      </c>
      <c r="B9" s="23">
        <v>39</v>
      </c>
    </row>
    <row r="10" spans="1:2" x14ac:dyDescent="0.3">
      <c r="A10" s="14" t="s">
        <v>91</v>
      </c>
      <c r="B10" s="23">
        <v>20</v>
      </c>
    </row>
    <row r="11" spans="1:2" x14ac:dyDescent="0.3">
      <c r="A11" s="14" t="s">
        <v>94</v>
      </c>
      <c r="B11" s="23">
        <v>19</v>
      </c>
    </row>
    <row r="12" spans="1:2" x14ac:dyDescent="0.3">
      <c r="A12" s="14" t="s">
        <v>474</v>
      </c>
      <c r="B12" s="23">
        <v>2</v>
      </c>
    </row>
    <row r="13" spans="1:2" x14ac:dyDescent="0.3">
      <c r="A13" s="14" t="s">
        <v>618</v>
      </c>
      <c r="B13" s="23">
        <v>95</v>
      </c>
    </row>
    <row r="14" spans="1:2" x14ac:dyDescent="0.3">
      <c r="A14" s="14" t="s">
        <v>619</v>
      </c>
      <c r="B14" s="23">
        <v>559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B8CE-8474-4EB7-9875-85BEB8190AEF}">
  <dimension ref="A1:B14"/>
  <sheetViews>
    <sheetView workbookViewId="0">
      <selection activeCell="I23" sqref="I23"/>
    </sheetView>
  </sheetViews>
  <sheetFormatPr defaultRowHeight="14.4" x14ac:dyDescent="0.3"/>
  <cols>
    <col min="1" max="1" width="12.44140625" bestFit="1" customWidth="1"/>
    <col min="2" max="2" width="20.44140625" bestFit="1" customWidth="1"/>
  </cols>
  <sheetData>
    <row r="1" spans="1:2" x14ac:dyDescent="0.3">
      <c r="A1" s="13" t="s">
        <v>617</v>
      </c>
      <c r="B1" t="s">
        <v>621</v>
      </c>
    </row>
    <row r="2" spans="1:2" x14ac:dyDescent="0.3">
      <c r="A2" s="14" t="s">
        <v>4</v>
      </c>
      <c r="B2" s="23">
        <v>18578</v>
      </c>
    </row>
    <row r="3" spans="1:2" x14ac:dyDescent="0.3">
      <c r="A3" s="14" t="s">
        <v>84</v>
      </c>
      <c r="B3" s="23">
        <v>1961</v>
      </c>
    </row>
    <row r="4" spans="1:2" x14ac:dyDescent="0.3">
      <c r="A4" s="14" t="s">
        <v>6</v>
      </c>
      <c r="B4" s="23">
        <v>1483</v>
      </c>
    </row>
    <row r="5" spans="1:2" x14ac:dyDescent="0.3">
      <c r="A5" s="14" t="s">
        <v>3</v>
      </c>
      <c r="B5" s="23">
        <v>104798</v>
      </c>
    </row>
    <row r="6" spans="1:2" x14ac:dyDescent="0.3">
      <c r="A6" s="14" t="s">
        <v>458</v>
      </c>
      <c r="B6" s="23">
        <v>83</v>
      </c>
    </row>
    <row r="7" spans="1:2" x14ac:dyDescent="0.3">
      <c r="A7" s="14" t="s">
        <v>15</v>
      </c>
      <c r="B7" s="23">
        <v>5645</v>
      </c>
    </row>
    <row r="8" spans="1:2" x14ac:dyDescent="0.3">
      <c r="A8" s="14" t="s">
        <v>5</v>
      </c>
      <c r="B8" s="23">
        <v>1624</v>
      </c>
    </row>
    <row r="9" spans="1:2" x14ac:dyDescent="0.3">
      <c r="A9" s="14" t="s">
        <v>7</v>
      </c>
      <c r="B9" s="23">
        <v>13627</v>
      </c>
    </row>
    <row r="10" spans="1:2" x14ac:dyDescent="0.3">
      <c r="A10" s="14" t="s">
        <v>91</v>
      </c>
      <c r="B10" s="23">
        <v>8186</v>
      </c>
    </row>
    <row r="11" spans="1:2" x14ac:dyDescent="0.3">
      <c r="A11" s="14" t="s">
        <v>94</v>
      </c>
      <c r="B11" s="23">
        <v>11164</v>
      </c>
    </row>
    <row r="12" spans="1:2" x14ac:dyDescent="0.3">
      <c r="A12" s="14" t="s">
        <v>474</v>
      </c>
      <c r="B12" s="23">
        <v>18</v>
      </c>
    </row>
    <row r="13" spans="1:2" x14ac:dyDescent="0.3">
      <c r="A13" s="14" t="s">
        <v>618</v>
      </c>
      <c r="B13" s="23">
        <v>11911</v>
      </c>
    </row>
    <row r="14" spans="1:2" x14ac:dyDescent="0.3">
      <c r="A14" s="14" t="s">
        <v>619</v>
      </c>
      <c r="B14" s="23">
        <v>179078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3657B-95CD-4BB7-B11B-64D69536F828}">
  <dimension ref="A1:C14"/>
  <sheetViews>
    <sheetView workbookViewId="0"/>
  </sheetViews>
  <sheetFormatPr defaultRowHeight="14.4" x14ac:dyDescent="0.3"/>
  <cols>
    <col min="1" max="1" width="12.44140625" bestFit="1" customWidth="1"/>
    <col min="2" max="2" width="17.33203125" bestFit="1" customWidth="1"/>
    <col min="3" max="3" width="17.44140625" bestFit="1" customWidth="1"/>
  </cols>
  <sheetData>
    <row r="1" spans="1:3" x14ac:dyDescent="0.3">
      <c r="A1" s="13" t="s">
        <v>617</v>
      </c>
      <c r="B1" t="s">
        <v>623</v>
      </c>
      <c r="C1" t="s">
        <v>624</v>
      </c>
    </row>
    <row r="2" spans="1:3" x14ac:dyDescent="0.3">
      <c r="A2" s="14" t="s">
        <v>4</v>
      </c>
      <c r="B2" s="23">
        <v>24615</v>
      </c>
      <c r="C2" s="23">
        <v>32437</v>
      </c>
    </row>
    <row r="3" spans="1:3" x14ac:dyDescent="0.3">
      <c r="A3" s="14" t="s">
        <v>84</v>
      </c>
      <c r="B3" s="23">
        <v>605</v>
      </c>
      <c r="C3" s="23">
        <v>755</v>
      </c>
    </row>
    <row r="4" spans="1:3" x14ac:dyDescent="0.3">
      <c r="A4" s="14" t="s">
        <v>6</v>
      </c>
      <c r="B4" s="23">
        <v>3298</v>
      </c>
      <c r="C4" s="23">
        <v>4398</v>
      </c>
    </row>
    <row r="5" spans="1:3" x14ac:dyDescent="0.3">
      <c r="A5" s="14" t="s">
        <v>3</v>
      </c>
      <c r="B5" s="23">
        <v>98752</v>
      </c>
      <c r="C5" s="23">
        <v>123842</v>
      </c>
    </row>
    <row r="6" spans="1:3" x14ac:dyDescent="0.3">
      <c r="A6" s="14" t="s">
        <v>458</v>
      </c>
      <c r="B6" s="23">
        <v>234</v>
      </c>
      <c r="C6" s="23">
        <v>326</v>
      </c>
    </row>
    <row r="7" spans="1:3" x14ac:dyDescent="0.3">
      <c r="A7" s="14" t="s">
        <v>15</v>
      </c>
      <c r="B7" s="23">
        <v>6278</v>
      </c>
      <c r="C7" s="23">
        <v>8005</v>
      </c>
    </row>
    <row r="8" spans="1:3" x14ac:dyDescent="0.3">
      <c r="A8" s="14" t="s">
        <v>5</v>
      </c>
      <c r="B8" s="23">
        <v>871</v>
      </c>
      <c r="C8" s="23">
        <v>1107</v>
      </c>
    </row>
    <row r="9" spans="1:3" x14ac:dyDescent="0.3">
      <c r="A9" s="14" t="s">
        <v>7</v>
      </c>
      <c r="B9" s="23">
        <v>16305</v>
      </c>
      <c r="C9" s="23">
        <v>21079</v>
      </c>
    </row>
    <row r="10" spans="1:3" x14ac:dyDescent="0.3">
      <c r="A10" s="14" t="s">
        <v>91</v>
      </c>
      <c r="B10" s="23">
        <v>5610</v>
      </c>
      <c r="C10" s="23">
        <v>6893</v>
      </c>
    </row>
    <row r="11" spans="1:3" x14ac:dyDescent="0.3">
      <c r="A11" s="14" t="s">
        <v>94</v>
      </c>
      <c r="B11" s="23">
        <v>10638</v>
      </c>
      <c r="C11" s="23">
        <v>15423</v>
      </c>
    </row>
    <row r="12" spans="1:3" x14ac:dyDescent="0.3">
      <c r="A12" s="14" t="s">
        <v>474</v>
      </c>
      <c r="B12" s="23">
        <v>26</v>
      </c>
      <c r="C12" s="23">
        <v>31</v>
      </c>
    </row>
    <row r="13" spans="1:3" x14ac:dyDescent="0.3">
      <c r="A13" s="14" t="s">
        <v>618</v>
      </c>
      <c r="B13" s="23">
        <v>5961</v>
      </c>
      <c r="C13" s="23">
        <v>7907</v>
      </c>
    </row>
    <row r="14" spans="1:3" x14ac:dyDescent="0.3">
      <c r="A14" s="14" t="s">
        <v>619</v>
      </c>
      <c r="B14" s="23">
        <v>173193</v>
      </c>
      <c r="C14" s="23">
        <v>222203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3C86-4D74-4815-96A4-B330A1D0BFF7}">
  <dimension ref="A1:C14"/>
  <sheetViews>
    <sheetView workbookViewId="0">
      <selection activeCell="M19" sqref="M19"/>
    </sheetView>
  </sheetViews>
  <sheetFormatPr defaultRowHeight="14.4" x14ac:dyDescent="0.3"/>
  <cols>
    <col min="1" max="1" width="12.44140625" bestFit="1" customWidth="1"/>
    <col min="2" max="2" width="16.21875" bestFit="1" customWidth="1"/>
    <col min="3" max="3" width="20" bestFit="1" customWidth="1"/>
  </cols>
  <sheetData>
    <row r="1" spans="1:3" x14ac:dyDescent="0.3">
      <c r="A1" s="13" t="s">
        <v>617</v>
      </c>
      <c r="B1" t="s">
        <v>625</v>
      </c>
      <c r="C1" t="s">
        <v>622</v>
      </c>
    </row>
    <row r="2" spans="1:3" x14ac:dyDescent="0.3">
      <c r="A2" s="14" t="s">
        <v>4</v>
      </c>
      <c r="B2" s="23">
        <v>7231.8297435309987</v>
      </c>
      <c r="C2" s="23">
        <v>1240.4139953150004</v>
      </c>
    </row>
    <row r="3" spans="1:3" x14ac:dyDescent="0.3">
      <c r="A3" s="14" t="s">
        <v>84</v>
      </c>
      <c r="B3" s="23">
        <v>280.88435374099998</v>
      </c>
      <c r="C3" s="23">
        <v>25.058823529000001</v>
      </c>
    </row>
    <row r="4" spans="1:3" x14ac:dyDescent="0.3">
      <c r="A4" s="14" t="s">
        <v>6</v>
      </c>
      <c r="B4" s="23">
        <v>1673.9241771159998</v>
      </c>
      <c r="C4" s="23">
        <v>320.76070139000001</v>
      </c>
    </row>
    <row r="5" spans="1:3" x14ac:dyDescent="0.3">
      <c r="A5" s="14" t="s">
        <v>3</v>
      </c>
      <c r="B5" s="23">
        <v>24415.838225921994</v>
      </c>
      <c r="C5" s="23">
        <v>3503.2374812589992</v>
      </c>
    </row>
    <row r="6" spans="1:3" x14ac:dyDescent="0.3">
      <c r="A6" s="14" t="s">
        <v>458</v>
      </c>
      <c r="B6" s="23">
        <v>139.31623931600001</v>
      </c>
      <c r="C6" s="23">
        <v>19.176470588000001</v>
      </c>
    </row>
    <row r="7" spans="1:3" x14ac:dyDescent="0.3">
      <c r="A7" s="14" t="s">
        <v>15</v>
      </c>
      <c r="B7" s="23">
        <v>2463.1606771650004</v>
      </c>
      <c r="C7" s="23">
        <v>353.09625308799997</v>
      </c>
    </row>
    <row r="8" spans="1:3" x14ac:dyDescent="0.3">
      <c r="A8" s="14" t="s">
        <v>5</v>
      </c>
      <c r="B8" s="23">
        <v>1389.1699680429999</v>
      </c>
      <c r="C8" s="23">
        <v>156.11748120300001</v>
      </c>
    </row>
    <row r="9" spans="1:3" x14ac:dyDescent="0.3">
      <c r="A9" s="14" t="s">
        <v>7</v>
      </c>
      <c r="B9" s="23">
        <v>4133.7048605809996</v>
      </c>
      <c r="C9" s="23">
        <v>736.3163623260001</v>
      </c>
    </row>
    <row r="10" spans="1:3" x14ac:dyDescent="0.3">
      <c r="A10" s="14" t="s">
        <v>91</v>
      </c>
      <c r="B10" s="23">
        <v>2192.3808229760002</v>
      </c>
      <c r="C10" s="23">
        <v>245.06358581700002</v>
      </c>
    </row>
    <row r="11" spans="1:3" x14ac:dyDescent="0.3">
      <c r="A11" s="14" t="s">
        <v>94</v>
      </c>
      <c r="B11" s="23">
        <v>2256.0252040699997</v>
      </c>
      <c r="C11" s="23">
        <v>341.61061135599999</v>
      </c>
    </row>
    <row r="12" spans="1:3" x14ac:dyDescent="0.3">
      <c r="A12" s="14" t="s">
        <v>474</v>
      </c>
      <c r="B12" s="23">
        <v>119.230769231</v>
      </c>
      <c r="C12" s="23">
        <v>10.333333333000001</v>
      </c>
    </row>
    <row r="13" spans="1:3" x14ac:dyDescent="0.3">
      <c r="A13" s="14" t="s">
        <v>618</v>
      </c>
      <c r="B13" s="23">
        <v>8108.1910672649983</v>
      </c>
      <c r="C13" s="23">
        <v>931.96078042500005</v>
      </c>
    </row>
    <row r="14" spans="1:3" x14ac:dyDescent="0.3">
      <c r="A14" s="14" t="s">
        <v>619</v>
      </c>
      <c r="B14" s="23">
        <v>54403.656108956988</v>
      </c>
      <c r="C14" s="23">
        <v>7883.145879628999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356A4-A968-4043-89C5-B6BAE84D28E7}">
  <dimension ref="A1:K560"/>
  <sheetViews>
    <sheetView workbookViewId="0">
      <selection activeCell="O3" sqref="O3"/>
    </sheetView>
  </sheetViews>
  <sheetFormatPr defaultRowHeight="14.4" x14ac:dyDescent="0.3"/>
  <cols>
    <col min="1" max="1" width="12.77734375" style="9" bestFit="1" customWidth="1"/>
    <col min="2" max="2" width="18.5546875" bestFit="1" customWidth="1"/>
    <col min="3" max="3" width="10.33203125" style="10" bestFit="1" customWidth="1"/>
    <col min="4" max="4" width="11.33203125" bestFit="1" customWidth="1"/>
    <col min="5" max="5" width="13.33203125" style="11" bestFit="1" customWidth="1"/>
    <col min="6" max="6" width="13.44140625" style="11" bestFit="1" customWidth="1"/>
    <col min="7" max="7" width="17.109375" style="12" bestFit="1" customWidth="1"/>
    <col min="8" max="8" width="12.33203125" style="12" bestFit="1" customWidth="1"/>
    <col min="9" max="9" width="18.77734375" style="11" bestFit="1" customWidth="1"/>
    <col min="10" max="10" width="13.88671875" style="11" bestFit="1" customWidth="1"/>
    <col min="11" max="11" width="13" style="12" bestFit="1" customWidth="1"/>
  </cols>
  <sheetData>
    <row r="1" spans="1:11" s="8" customFormat="1" x14ac:dyDescent="0.3">
      <c r="A1" s="3" t="s">
        <v>45</v>
      </c>
      <c r="B1" s="4" t="s">
        <v>0</v>
      </c>
      <c r="C1" s="5" t="s">
        <v>46</v>
      </c>
      <c r="D1" s="4" t="s">
        <v>47</v>
      </c>
      <c r="E1" s="6" t="s">
        <v>48</v>
      </c>
      <c r="F1" s="6" t="s">
        <v>1</v>
      </c>
      <c r="G1" s="7" t="s">
        <v>49</v>
      </c>
      <c r="H1" s="4" t="s">
        <v>2</v>
      </c>
      <c r="I1" s="3" t="s">
        <v>50</v>
      </c>
      <c r="J1" s="3" t="s">
        <v>51</v>
      </c>
      <c r="K1" s="3" t="s">
        <v>52</v>
      </c>
    </row>
    <row r="2" spans="1:11" x14ac:dyDescent="0.3">
      <c r="A2" s="9">
        <v>1</v>
      </c>
      <c r="B2" t="s">
        <v>53</v>
      </c>
      <c r="C2" s="10">
        <v>33293</v>
      </c>
      <c r="D2" t="s">
        <v>3</v>
      </c>
      <c r="E2" s="11">
        <v>191</v>
      </c>
      <c r="F2" s="11">
        <v>280</v>
      </c>
      <c r="G2" s="12">
        <v>18.666666667000001</v>
      </c>
      <c r="H2" s="11">
        <v>146.596858639</v>
      </c>
      <c r="I2" s="11">
        <v>270</v>
      </c>
      <c r="J2" s="11">
        <v>400</v>
      </c>
      <c r="K2" s="12">
        <f t="shared" ref="K2:K65" si="0">IF(J2&lt;&gt;0,J2/(I2/6),"")</f>
        <v>8.8888888888888893</v>
      </c>
    </row>
    <row r="3" spans="1:11" x14ac:dyDescent="0.3">
      <c r="A3" s="9">
        <v>2</v>
      </c>
      <c r="B3" t="s">
        <v>54</v>
      </c>
      <c r="C3" s="10">
        <v>30655</v>
      </c>
      <c r="D3" t="s">
        <v>3</v>
      </c>
      <c r="E3" s="11">
        <v>7</v>
      </c>
      <c r="F3" s="11">
        <v>4</v>
      </c>
      <c r="G3" s="12">
        <v>4</v>
      </c>
      <c r="H3" s="11">
        <v>57.142857143000001</v>
      </c>
      <c r="I3" s="11">
        <v>234</v>
      </c>
      <c r="J3" s="11">
        <v>245</v>
      </c>
      <c r="K3" s="12">
        <f t="shared" si="0"/>
        <v>6.2820512820512819</v>
      </c>
    </row>
    <row r="4" spans="1:11" x14ac:dyDescent="0.3">
      <c r="A4" s="9">
        <v>3</v>
      </c>
      <c r="B4" t="s">
        <v>55</v>
      </c>
      <c r="C4" s="10">
        <v>28387</v>
      </c>
      <c r="D4" t="s">
        <v>3</v>
      </c>
      <c r="E4" s="11">
        <v>71</v>
      </c>
      <c r="F4" s="11">
        <v>53</v>
      </c>
      <c r="G4" s="12">
        <v>10.6</v>
      </c>
      <c r="H4" s="11">
        <v>74.647887323999996</v>
      </c>
      <c r="K4" s="12" t="str">
        <f t="shared" si="0"/>
        <v/>
      </c>
    </row>
    <row r="5" spans="1:11" x14ac:dyDescent="0.3">
      <c r="A5" s="9">
        <v>4</v>
      </c>
      <c r="B5" t="s">
        <v>56</v>
      </c>
      <c r="E5" s="11">
        <v>20</v>
      </c>
      <c r="F5" s="11">
        <v>25</v>
      </c>
      <c r="G5" s="12">
        <v>12.5</v>
      </c>
      <c r="H5" s="11">
        <v>125</v>
      </c>
      <c r="I5" s="11">
        <v>108</v>
      </c>
      <c r="J5" s="11">
        <v>144</v>
      </c>
      <c r="K5" s="12">
        <f t="shared" si="0"/>
        <v>8</v>
      </c>
    </row>
    <row r="6" spans="1:11" x14ac:dyDescent="0.3">
      <c r="A6" s="9">
        <v>5</v>
      </c>
      <c r="B6" t="s">
        <v>57</v>
      </c>
      <c r="E6" s="11">
        <v>5</v>
      </c>
      <c r="F6" s="11">
        <v>4</v>
      </c>
      <c r="H6" s="11">
        <v>80</v>
      </c>
      <c r="I6" s="11">
        <v>25</v>
      </c>
      <c r="J6" s="11">
        <v>48</v>
      </c>
      <c r="K6" s="12">
        <f t="shared" si="0"/>
        <v>11.52</v>
      </c>
    </row>
    <row r="7" spans="1:11" x14ac:dyDescent="0.3">
      <c r="A7" s="9">
        <v>6</v>
      </c>
      <c r="B7" t="s">
        <v>58</v>
      </c>
      <c r="C7" s="10">
        <v>28465</v>
      </c>
      <c r="D7" t="s">
        <v>6</v>
      </c>
      <c r="E7" s="11">
        <v>53</v>
      </c>
      <c r="F7" s="11">
        <v>62</v>
      </c>
      <c r="G7" s="12">
        <v>31</v>
      </c>
      <c r="H7" s="11">
        <v>116.981132075</v>
      </c>
      <c r="I7" s="11">
        <v>66</v>
      </c>
      <c r="J7" s="11">
        <v>106</v>
      </c>
      <c r="K7" s="12">
        <f t="shared" si="0"/>
        <v>9.6363636363636367</v>
      </c>
    </row>
    <row r="8" spans="1:11" x14ac:dyDescent="0.3">
      <c r="A8" s="9">
        <v>7</v>
      </c>
      <c r="B8" t="s">
        <v>59</v>
      </c>
      <c r="E8" s="11">
        <v>118</v>
      </c>
      <c r="F8" s="11">
        <v>150</v>
      </c>
      <c r="G8" s="12">
        <v>25</v>
      </c>
      <c r="H8" s="11">
        <v>127.11864406799999</v>
      </c>
      <c r="K8" s="12" t="str">
        <f t="shared" si="0"/>
        <v/>
      </c>
    </row>
    <row r="9" spans="1:11" x14ac:dyDescent="0.3">
      <c r="A9" s="9">
        <v>8</v>
      </c>
      <c r="B9" t="s">
        <v>60</v>
      </c>
      <c r="E9" s="11">
        <v>13</v>
      </c>
      <c r="F9" s="11">
        <v>15</v>
      </c>
      <c r="H9" s="11">
        <v>115.384615385</v>
      </c>
      <c r="I9" s="11">
        <v>55</v>
      </c>
      <c r="J9" s="11">
        <v>94</v>
      </c>
      <c r="K9" s="12">
        <f t="shared" si="0"/>
        <v>10.254545454545456</v>
      </c>
    </row>
    <row r="10" spans="1:11" x14ac:dyDescent="0.3">
      <c r="A10" s="9">
        <v>9</v>
      </c>
      <c r="B10" t="s">
        <v>61</v>
      </c>
      <c r="C10" s="10">
        <v>25858</v>
      </c>
      <c r="D10" t="s">
        <v>3</v>
      </c>
      <c r="E10" s="11">
        <v>46</v>
      </c>
      <c r="F10" s="11">
        <v>35</v>
      </c>
      <c r="G10" s="12">
        <v>17.5</v>
      </c>
      <c r="H10" s="11">
        <v>76.086956521999994</v>
      </c>
      <c r="I10" s="11">
        <v>983</v>
      </c>
      <c r="J10" s="11">
        <v>1089</v>
      </c>
      <c r="K10" s="12">
        <f t="shared" si="0"/>
        <v>6.6469989827060019</v>
      </c>
    </row>
    <row r="11" spans="1:11" x14ac:dyDescent="0.3">
      <c r="A11" s="9">
        <v>10</v>
      </c>
      <c r="B11" t="s">
        <v>62</v>
      </c>
      <c r="C11" s="10">
        <v>30279</v>
      </c>
      <c r="D11" t="s">
        <v>3</v>
      </c>
      <c r="E11" s="11">
        <v>385</v>
      </c>
      <c r="F11" s="11">
        <v>366</v>
      </c>
      <c r="G11" s="12">
        <v>12.620689655</v>
      </c>
      <c r="H11" s="11">
        <v>95.064935065</v>
      </c>
      <c r="I11" s="11">
        <v>3172</v>
      </c>
      <c r="J11" s="11">
        <v>3850</v>
      </c>
      <c r="K11" s="12">
        <f t="shared" si="0"/>
        <v>7.2824716267339227</v>
      </c>
    </row>
    <row r="12" spans="1:11" x14ac:dyDescent="0.3">
      <c r="A12" s="9">
        <v>11</v>
      </c>
      <c r="B12" t="s">
        <v>63</v>
      </c>
      <c r="C12" s="10">
        <v>32806</v>
      </c>
      <c r="D12" t="s">
        <v>3</v>
      </c>
      <c r="E12" s="11">
        <v>25</v>
      </c>
      <c r="F12" s="11">
        <v>34</v>
      </c>
      <c r="G12" s="12">
        <v>6.8</v>
      </c>
      <c r="H12" s="11">
        <v>136</v>
      </c>
      <c r="I12" s="11">
        <v>312</v>
      </c>
      <c r="J12" s="11">
        <v>477</v>
      </c>
      <c r="K12" s="12">
        <f t="shared" si="0"/>
        <v>9.1730769230769234</v>
      </c>
    </row>
    <row r="13" spans="1:11" x14ac:dyDescent="0.3">
      <c r="A13" s="9">
        <v>12</v>
      </c>
      <c r="B13" t="s">
        <v>64</v>
      </c>
      <c r="C13" s="10">
        <v>32879</v>
      </c>
      <c r="D13" t="s">
        <v>3</v>
      </c>
      <c r="E13" s="11">
        <v>22</v>
      </c>
      <c r="F13" s="11">
        <v>19</v>
      </c>
      <c r="G13" s="12">
        <v>9.5</v>
      </c>
      <c r="H13" s="11">
        <v>86.363636364000001</v>
      </c>
      <c r="K13" s="12" t="str">
        <f t="shared" si="0"/>
        <v/>
      </c>
    </row>
    <row r="14" spans="1:11" x14ac:dyDescent="0.3">
      <c r="A14" s="9">
        <v>13</v>
      </c>
      <c r="B14" t="s">
        <v>65</v>
      </c>
      <c r="C14" s="10">
        <v>28974</v>
      </c>
      <c r="D14" t="s">
        <v>3</v>
      </c>
      <c r="E14" s="11">
        <v>59</v>
      </c>
      <c r="F14" s="11">
        <v>41</v>
      </c>
      <c r="G14" s="12">
        <v>5.125</v>
      </c>
      <c r="H14" s="11">
        <v>69.491525424000002</v>
      </c>
      <c r="I14" s="11">
        <v>1974</v>
      </c>
      <c r="J14" s="11">
        <v>2537</v>
      </c>
      <c r="K14" s="12">
        <f t="shared" si="0"/>
        <v>7.7112462006079028</v>
      </c>
    </row>
    <row r="15" spans="1:11" x14ac:dyDescent="0.3">
      <c r="A15" s="9">
        <v>14</v>
      </c>
      <c r="B15" t="s">
        <v>66</v>
      </c>
      <c r="C15" s="10">
        <v>28321</v>
      </c>
      <c r="D15" t="s">
        <v>7</v>
      </c>
      <c r="H15" s="11"/>
      <c r="I15" s="11">
        <v>18</v>
      </c>
      <c r="J15" s="11">
        <v>31</v>
      </c>
      <c r="K15" s="12">
        <f t="shared" si="0"/>
        <v>10.333333333333334</v>
      </c>
    </row>
    <row r="16" spans="1:11" x14ac:dyDescent="0.3">
      <c r="A16" s="9">
        <v>15</v>
      </c>
      <c r="B16" t="s">
        <v>67</v>
      </c>
      <c r="H16" s="11"/>
      <c r="I16" s="11">
        <v>15</v>
      </c>
      <c r="J16" s="11">
        <v>14</v>
      </c>
      <c r="K16" s="12">
        <f t="shared" si="0"/>
        <v>5.6</v>
      </c>
    </row>
    <row r="17" spans="1:11" x14ac:dyDescent="0.3">
      <c r="A17" s="9">
        <v>16</v>
      </c>
      <c r="B17" t="s">
        <v>68</v>
      </c>
      <c r="C17" s="10">
        <v>29758</v>
      </c>
      <c r="D17" t="s">
        <v>3</v>
      </c>
      <c r="E17" s="11">
        <v>10</v>
      </c>
      <c r="F17" s="11">
        <v>2</v>
      </c>
      <c r="G17" s="12">
        <v>0.5</v>
      </c>
      <c r="H17" s="11">
        <v>20</v>
      </c>
      <c r="I17" s="11">
        <v>551</v>
      </c>
      <c r="J17" s="11">
        <v>769</v>
      </c>
      <c r="K17" s="12">
        <f t="shared" si="0"/>
        <v>8.373865698729583</v>
      </c>
    </row>
    <row r="18" spans="1:11" x14ac:dyDescent="0.3">
      <c r="A18" s="9">
        <v>17</v>
      </c>
      <c r="B18" t="s">
        <v>69</v>
      </c>
      <c r="C18" s="10">
        <v>27554</v>
      </c>
      <c r="D18" t="s">
        <v>4</v>
      </c>
      <c r="E18" s="11">
        <v>748</v>
      </c>
      <c r="F18" s="11">
        <v>974</v>
      </c>
      <c r="G18" s="12">
        <v>37.461538462</v>
      </c>
      <c r="H18" s="11">
        <v>130.213903743</v>
      </c>
      <c r="I18" s="11">
        <v>540</v>
      </c>
      <c r="J18" s="11">
        <v>694</v>
      </c>
      <c r="K18" s="12">
        <f t="shared" si="0"/>
        <v>7.7111111111111112</v>
      </c>
    </row>
    <row r="19" spans="1:11" x14ac:dyDescent="0.3">
      <c r="A19" s="9">
        <v>18</v>
      </c>
      <c r="B19" t="s">
        <v>70</v>
      </c>
      <c r="E19" s="11">
        <v>10</v>
      </c>
      <c r="F19" s="11">
        <v>3</v>
      </c>
      <c r="G19" s="12">
        <v>1</v>
      </c>
      <c r="H19" s="11">
        <v>30</v>
      </c>
      <c r="K19" s="12" t="str">
        <f t="shared" si="0"/>
        <v/>
      </c>
    </row>
    <row r="20" spans="1:11" x14ac:dyDescent="0.3">
      <c r="A20" s="9">
        <v>19</v>
      </c>
      <c r="B20" t="s">
        <v>71</v>
      </c>
      <c r="C20" s="10">
        <v>29911</v>
      </c>
      <c r="D20" t="s">
        <v>3</v>
      </c>
      <c r="E20" s="11">
        <v>7</v>
      </c>
      <c r="F20" s="11">
        <v>4</v>
      </c>
      <c r="G20" s="12">
        <v>4</v>
      </c>
      <c r="H20" s="11">
        <v>57.142857143000001</v>
      </c>
      <c r="I20" s="11">
        <v>38</v>
      </c>
      <c r="J20" s="11">
        <v>67</v>
      </c>
      <c r="K20" s="12">
        <f t="shared" si="0"/>
        <v>10.578947368421053</v>
      </c>
    </row>
    <row r="21" spans="1:11" x14ac:dyDescent="0.3">
      <c r="A21" s="9">
        <v>20</v>
      </c>
      <c r="B21" t="s">
        <v>72</v>
      </c>
      <c r="C21" s="10">
        <v>33694</v>
      </c>
      <c r="D21" t="s">
        <v>4</v>
      </c>
      <c r="E21" s="11">
        <v>8</v>
      </c>
      <c r="F21" s="11">
        <v>5</v>
      </c>
      <c r="G21" s="12">
        <v>2.5</v>
      </c>
      <c r="H21" s="11">
        <v>62.5</v>
      </c>
      <c r="I21" s="11">
        <v>225</v>
      </c>
      <c r="J21" s="11">
        <v>281</v>
      </c>
      <c r="K21" s="12">
        <f t="shared" si="0"/>
        <v>7.4933333333333332</v>
      </c>
    </row>
    <row r="22" spans="1:11" x14ac:dyDescent="0.3">
      <c r="A22" s="9">
        <v>21</v>
      </c>
      <c r="B22" t="s">
        <v>73</v>
      </c>
      <c r="C22" s="10">
        <v>31563</v>
      </c>
      <c r="D22" t="s">
        <v>3</v>
      </c>
      <c r="E22" s="11">
        <v>85</v>
      </c>
      <c r="F22" s="11">
        <v>69</v>
      </c>
      <c r="G22" s="12">
        <v>13.8</v>
      </c>
      <c r="H22" s="11">
        <v>81.176470588000001</v>
      </c>
      <c r="K22" s="12" t="str">
        <f t="shared" si="0"/>
        <v/>
      </c>
    </row>
    <row r="23" spans="1:11" x14ac:dyDescent="0.3">
      <c r="A23" s="9">
        <v>22</v>
      </c>
      <c r="B23" t="s">
        <v>74</v>
      </c>
      <c r="C23" s="10">
        <v>31348</v>
      </c>
      <c r="D23" t="s">
        <v>3</v>
      </c>
      <c r="E23" s="11">
        <v>11</v>
      </c>
      <c r="F23" s="11">
        <v>12</v>
      </c>
      <c r="G23" s="12">
        <v>12</v>
      </c>
      <c r="H23" s="11">
        <v>109.090909091</v>
      </c>
      <c r="I23" s="11">
        <v>255</v>
      </c>
      <c r="J23" s="11">
        <v>339</v>
      </c>
      <c r="K23" s="12">
        <f t="shared" si="0"/>
        <v>7.9764705882352942</v>
      </c>
    </row>
    <row r="24" spans="1:11" x14ac:dyDescent="0.3">
      <c r="A24" s="9">
        <v>23</v>
      </c>
      <c r="B24" t="s">
        <v>75</v>
      </c>
      <c r="C24" s="10">
        <v>30286</v>
      </c>
      <c r="D24" t="s">
        <v>3</v>
      </c>
      <c r="E24" s="11">
        <v>210</v>
      </c>
      <c r="F24" s="11">
        <v>217</v>
      </c>
      <c r="G24" s="12">
        <v>15.5</v>
      </c>
      <c r="H24" s="11">
        <v>103.333333333</v>
      </c>
      <c r="I24" s="11">
        <v>88</v>
      </c>
      <c r="J24" s="11">
        <v>130</v>
      </c>
      <c r="K24" s="12">
        <f t="shared" si="0"/>
        <v>8.8636363636363633</v>
      </c>
    </row>
    <row r="25" spans="1:11" x14ac:dyDescent="0.3">
      <c r="A25" s="9">
        <v>24</v>
      </c>
      <c r="B25" t="s">
        <v>76</v>
      </c>
      <c r="C25" s="10">
        <v>32780</v>
      </c>
      <c r="D25" t="s">
        <v>3</v>
      </c>
      <c r="H25" s="11"/>
      <c r="I25" s="11">
        <v>13</v>
      </c>
      <c r="J25" s="11">
        <v>21</v>
      </c>
      <c r="K25" s="12">
        <f t="shared" si="0"/>
        <v>9.6923076923076934</v>
      </c>
    </row>
    <row r="26" spans="1:11" x14ac:dyDescent="0.3">
      <c r="A26" s="9">
        <v>25</v>
      </c>
      <c r="B26" t="s">
        <v>77</v>
      </c>
      <c r="C26" s="10">
        <v>28245</v>
      </c>
      <c r="D26" t="s">
        <v>4</v>
      </c>
      <c r="E26" s="11">
        <v>10</v>
      </c>
      <c r="F26" s="11">
        <v>9</v>
      </c>
      <c r="G26" s="12">
        <v>9</v>
      </c>
      <c r="H26" s="11">
        <v>90</v>
      </c>
      <c r="I26" s="11">
        <v>25</v>
      </c>
      <c r="J26" s="11">
        <v>41</v>
      </c>
      <c r="K26" s="12">
        <f t="shared" si="0"/>
        <v>9.84</v>
      </c>
    </row>
    <row r="27" spans="1:11" x14ac:dyDescent="0.3">
      <c r="A27" s="9">
        <v>26</v>
      </c>
      <c r="B27" t="s">
        <v>78</v>
      </c>
      <c r="C27" s="10">
        <v>28463</v>
      </c>
      <c r="D27" t="s">
        <v>3</v>
      </c>
      <c r="E27" s="11">
        <v>152</v>
      </c>
      <c r="F27" s="11">
        <v>179</v>
      </c>
      <c r="G27" s="12">
        <v>22.375</v>
      </c>
      <c r="H27" s="11">
        <v>117.76315789500001</v>
      </c>
      <c r="I27" s="11">
        <v>820</v>
      </c>
      <c r="J27" s="11">
        <v>1174</v>
      </c>
      <c r="K27" s="12">
        <f t="shared" si="0"/>
        <v>8.5902439024390258</v>
      </c>
    </row>
    <row r="28" spans="1:11" x14ac:dyDescent="0.3">
      <c r="A28" s="9">
        <v>27</v>
      </c>
      <c r="B28" t="s">
        <v>79</v>
      </c>
      <c r="C28" s="10">
        <v>32977</v>
      </c>
      <c r="D28" t="s">
        <v>3</v>
      </c>
      <c r="E28" s="11">
        <v>42</v>
      </c>
      <c r="F28" s="11">
        <v>42</v>
      </c>
      <c r="G28" s="12">
        <v>21</v>
      </c>
      <c r="H28" s="11">
        <v>100</v>
      </c>
      <c r="K28" s="12" t="str">
        <f t="shared" si="0"/>
        <v/>
      </c>
    </row>
    <row r="29" spans="1:11" x14ac:dyDescent="0.3">
      <c r="A29" s="9">
        <v>28</v>
      </c>
      <c r="B29" t="s">
        <v>80</v>
      </c>
      <c r="C29" s="10">
        <v>30729</v>
      </c>
      <c r="D29" t="s">
        <v>7</v>
      </c>
      <c r="E29" s="11">
        <v>2902</v>
      </c>
      <c r="F29" s="11">
        <v>4414</v>
      </c>
      <c r="G29" s="12">
        <v>42.442307692</v>
      </c>
      <c r="H29" s="11">
        <v>152.101998622</v>
      </c>
      <c r="K29" s="12" t="str">
        <f t="shared" si="0"/>
        <v/>
      </c>
    </row>
    <row r="30" spans="1:11" x14ac:dyDescent="0.3">
      <c r="A30" s="9">
        <v>29</v>
      </c>
      <c r="B30" t="s">
        <v>81</v>
      </c>
      <c r="C30" s="10">
        <v>30766</v>
      </c>
      <c r="D30" t="s">
        <v>3</v>
      </c>
      <c r="E30" s="11">
        <v>47</v>
      </c>
      <c r="F30" s="11">
        <v>26</v>
      </c>
      <c r="G30" s="12">
        <v>2.888888889</v>
      </c>
      <c r="H30" s="11">
        <v>55.319148935999998</v>
      </c>
      <c r="I30" s="11">
        <v>1589</v>
      </c>
      <c r="J30" s="11">
        <v>2103</v>
      </c>
      <c r="K30" s="12">
        <f t="shared" si="0"/>
        <v>7.940843297671492</v>
      </c>
    </row>
    <row r="31" spans="1:11" x14ac:dyDescent="0.3">
      <c r="A31" s="9">
        <v>30</v>
      </c>
      <c r="B31" t="s">
        <v>82</v>
      </c>
      <c r="C31" s="10">
        <v>29742</v>
      </c>
      <c r="D31" t="s">
        <v>4</v>
      </c>
      <c r="E31" s="11">
        <v>99</v>
      </c>
      <c r="F31" s="11">
        <v>123</v>
      </c>
      <c r="G31" s="12">
        <v>24.6</v>
      </c>
      <c r="H31" s="11">
        <v>124.242424242</v>
      </c>
      <c r="I31" s="11">
        <v>188</v>
      </c>
      <c r="J31" s="11">
        <v>263</v>
      </c>
      <c r="K31" s="12">
        <f t="shared" si="0"/>
        <v>8.3936170212765955</v>
      </c>
    </row>
    <row r="32" spans="1:11" x14ac:dyDescent="0.3">
      <c r="A32" s="9">
        <v>31</v>
      </c>
      <c r="B32" t="s">
        <v>83</v>
      </c>
      <c r="C32" s="10">
        <v>30117</v>
      </c>
      <c r="D32" t="s">
        <v>84</v>
      </c>
      <c r="E32" s="11">
        <v>2</v>
      </c>
      <c r="F32" s="11">
        <v>0</v>
      </c>
      <c r="H32" s="11">
        <v>0</v>
      </c>
      <c r="I32" s="11">
        <v>14</v>
      </c>
      <c r="J32" s="11">
        <v>29</v>
      </c>
      <c r="K32" s="12">
        <f t="shared" si="0"/>
        <v>12.428571428571427</v>
      </c>
    </row>
    <row r="33" spans="1:11" x14ac:dyDescent="0.3">
      <c r="A33" s="9">
        <v>32</v>
      </c>
      <c r="B33" t="s">
        <v>85</v>
      </c>
      <c r="C33" s="10">
        <v>30860</v>
      </c>
      <c r="D33" t="s">
        <v>4</v>
      </c>
      <c r="E33" s="11">
        <v>89</v>
      </c>
      <c r="F33" s="11">
        <v>120</v>
      </c>
      <c r="G33" s="12">
        <v>17.142857143000001</v>
      </c>
      <c r="H33" s="11">
        <v>134.831460674</v>
      </c>
      <c r="K33" s="12" t="str">
        <f t="shared" si="0"/>
        <v/>
      </c>
    </row>
    <row r="34" spans="1:11" x14ac:dyDescent="0.3">
      <c r="A34" s="9">
        <v>33</v>
      </c>
      <c r="B34" t="s">
        <v>86</v>
      </c>
      <c r="C34" s="10">
        <v>26251</v>
      </c>
      <c r="D34" t="s">
        <v>4</v>
      </c>
      <c r="E34" s="11">
        <v>1492</v>
      </c>
      <c r="F34" s="11">
        <v>2069</v>
      </c>
      <c r="G34" s="12">
        <v>27.223684210999998</v>
      </c>
      <c r="H34" s="11">
        <v>138.67292225200001</v>
      </c>
      <c r="I34" s="11">
        <v>1</v>
      </c>
      <c r="J34" s="11">
        <v>0</v>
      </c>
      <c r="K34" s="12" t="str">
        <f t="shared" si="0"/>
        <v/>
      </c>
    </row>
    <row r="35" spans="1:11" x14ac:dyDescent="0.3">
      <c r="A35" s="9">
        <v>34</v>
      </c>
      <c r="B35" t="s">
        <v>87</v>
      </c>
      <c r="C35" s="10">
        <v>28165</v>
      </c>
      <c r="D35" t="s">
        <v>6</v>
      </c>
      <c r="E35" s="11">
        <v>19</v>
      </c>
      <c r="F35" s="11">
        <v>20</v>
      </c>
      <c r="G35" s="12">
        <v>10</v>
      </c>
      <c r="H35" s="11">
        <v>105.26315789500001</v>
      </c>
      <c r="I35" s="11">
        <v>327</v>
      </c>
      <c r="J35" s="11">
        <v>416</v>
      </c>
      <c r="K35" s="12">
        <f t="shared" si="0"/>
        <v>7.6330275229357802</v>
      </c>
    </row>
    <row r="36" spans="1:11" x14ac:dyDescent="0.3">
      <c r="A36" s="9">
        <v>35</v>
      </c>
      <c r="B36" t="s">
        <v>88</v>
      </c>
      <c r="C36" s="10">
        <v>29132</v>
      </c>
      <c r="D36" t="s">
        <v>4</v>
      </c>
      <c r="E36" s="11">
        <v>142</v>
      </c>
      <c r="F36" s="11">
        <v>181</v>
      </c>
      <c r="G36" s="12">
        <v>30.166666667000001</v>
      </c>
      <c r="H36" s="11">
        <v>127.464788732</v>
      </c>
      <c r="I36" s="11">
        <v>56</v>
      </c>
      <c r="J36" s="11">
        <v>76</v>
      </c>
      <c r="K36" s="12">
        <f t="shared" si="0"/>
        <v>8.1428571428571423</v>
      </c>
    </row>
    <row r="37" spans="1:11" x14ac:dyDescent="0.3">
      <c r="A37" s="9">
        <v>36</v>
      </c>
      <c r="B37" t="s">
        <v>89</v>
      </c>
      <c r="C37" s="10">
        <v>28428</v>
      </c>
      <c r="D37" t="s">
        <v>6</v>
      </c>
      <c r="E37" s="11">
        <v>78</v>
      </c>
      <c r="F37" s="11">
        <v>79</v>
      </c>
      <c r="G37" s="12">
        <v>7.9</v>
      </c>
      <c r="H37" s="11">
        <v>101.282051282</v>
      </c>
      <c r="I37" s="11">
        <v>310</v>
      </c>
      <c r="J37" s="11">
        <v>365</v>
      </c>
      <c r="K37" s="12">
        <f t="shared" si="0"/>
        <v>7.064516129032258</v>
      </c>
    </row>
    <row r="38" spans="1:11" x14ac:dyDescent="0.3">
      <c r="A38" s="9">
        <v>37</v>
      </c>
      <c r="B38" t="s">
        <v>90</v>
      </c>
      <c r="C38" s="10">
        <v>31930</v>
      </c>
      <c r="D38" t="s">
        <v>91</v>
      </c>
      <c r="E38" s="11">
        <v>573</v>
      </c>
      <c r="F38" s="11">
        <v>724</v>
      </c>
      <c r="G38" s="12">
        <v>23.354838709999999</v>
      </c>
      <c r="H38" s="11">
        <v>126.35253054099999</v>
      </c>
      <c r="I38" s="11">
        <v>807</v>
      </c>
      <c r="J38" s="11">
        <v>1095</v>
      </c>
      <c r="K38" s="12">
        <f t="shared" si="0"/>
        <v>8.1412639405204459</v>
      </c>
    </row>
    <row r="39" spans="1:11" x14ac:dyDescent="0.3">
      <c r="A39" s="9">
        <v>38</v>
      </c>
      <c r="B39" t="s">
        <v>92</v>
      </c>
      <c r="C39" s="10">
        <v>34099</v>
      </c>
      <c r="D39" t="s">
        <v>3</v>
      </c>
      <c r="E39" s="11">
        <v>98</v>
      </c>
      <c r="F39" s="11">
        <v>90</v>
      </c>
      <c r="G39" s="12">
        <v>9</v>
      </c>
      <c r="H39" s="11">
        <v>91.836734694</v>
      </c>
      <c r="K39" s="12" t="str">
        <f t="shared" si="0"/>
        <v/>
      </c>
    </row>
    <row r="40" spans="1:11" x14ac:dyDescent="0.3">
      <c r="A40" s="9">
        <v>39</v>
      </c>
      <c r="B40" t="s">
        <v>93</v>
      </c>
      <c r="C40" s="10">
        <v>32262</v>
      </c>
      <c r="D40" t="s">
        <v>94</v>
      </c>
      <c r="E40" s="11">
        <v>752</v>
      </c>
      <c r="F40" s="11">
        <v>1415</v>
      </c>
      <c r="G40" s="12">
        <v>34.512195122000001</v>
      </c>
      <c r="H40" s="11">
        <v>188.16489361699999</v>
      </c>
      <c r="I40" s="11">
        <v>1072</v>
      </c>
      <c r="J40" s="11">
        <v>1584</v>
      </c>
      <c r="K40" s="12">
        <f t="shared" si="0"/>
        <v>8.8656716417910459</v>
      </c>
    </row>
    <row r="41" spans="1:11" x14ac:dyDescent="0.3">
      <c r="A41" s="9">
        <v>40</v>
      </c>
      <c r="B41" t="s">
        <v>95</v>
      </c>
      <c r="C41" s="10">
        <v>33707</v>
      </c>
      <c r="D41" t="s">
        <v>15</v>
      </c>
      <c r="E41" s="11">
        <v>12</v>
      </c>
      <c r="F41" s="11">
        <v>7</v>
      </c>
      <c r="G41" s="12">
        <v>2.3333333330000001</v>
      </c>
      <c r="H41" s="11">
        <v>58.333333332999999</v>
      </c>
      <c r="I41" s="11">
        <v>115</v>
      </c>
      <c r="J41" s="11">
        <v>185</v>
      </c>
      <c r="K41" s="12">
        <f t="shared" si="0"/>
        <v>9.6521739130434785</v>
      </c>
    </row>
    <row r="42" spans="1:11" x14ac:dyDescent="0.3">
      <c r="A42" s="9">
        <v>41</v>
      </c>
      <c r="B42" t="s">
        <v>96</v>
      </c>
      <c r="C42" s="10">
        <v>32874</v>
      </c>
      <c r="D42" t="s">
        <v>3</v>
      </c>
      <c r="E42" s="11">
        <v>14</v>
      </c>
      <c r="F42" s="11">
        <v>10</v>
      </c>
      <c r="G42" s="12">
        <v>10</v>
      </c>
      <c r="H42" s="11">
        <v>71.428571429000002</v>
      </c>
      <c r="I42" s="11">
        <v>269</v>
      </c>
      <c r="J42" s="11">
        <v>322</v>
      </c>
      <c r="K42" s="12">
        <f t="shared" si="0"/>
        <v>7.1821561338289959</v>
      </c>
    </row>
    <row r="43" spans="1:11" x14ac:dyDescent="0.3">
      <c r="A43" s="9">
        <v>42</v>
      </c>
      <c r="B43" t="s">
        <v>97</v>
      </c>
      <c r="C43" s="10">
        <v>32251</v>
      </c>
      <c r="D43" t="s">
        <v>3</v>
      </c>
      <c r="E43" s="11">
        <v>57</v>
      </c>
      <c r="F43" s="11">
        <v>49</v>
      </c>
      <c r="G43" s="12">
        <v>9.8000000000000007</v>
      </c>
      <c r="H43" s="11">
        <v>85.964912280999997</v>
      </c>
      <c r="K43" s="12" t="str">
        <f t="shared" si="0"/>
        <v/>
      </c>
    </row>
    <row r="44" spans="1:11" x14ac:dyDescent="0.3">
      <c r="A44" s="9">
        <v>43</v>
      </c>
      <c r="B44" t="s">
        <v>98</v>
      </c>
      <c r="C44" s="10">
        <v>31733</v>
      </c>
      <c r="D44" t="s">
        <v>4</v>
      </c>
      <c r="E44" s="11">
        <v>1332</v>
      </c>
      <c r="F44" s="11">
        <v>1741</v>
      </c>
      <c r="G44" s="12">
        <v>26.378787879000001</v>
      </c>
      <c r="H44" s="11">
        <v>130.705705706</v>
      </c>
      <c r="I44" s="11">
        <v>44</v>
      </c>
      <c r="J44" s="11">
        <v>67</v>
      </c>
      <c r="K44" s="12">
        <f t="shared" si="0"/>
        <v>9.1363636363636367</v>
      </c>
    </row>
    <row r="45" spans="1:11" x14ac:dyDescent="0.3">
      <c r="A45" s="9">
        <v>44</v>
      </c>
      <c r="B45" t="s">
        <v>99</v>
      </c>
      <c r="E45" s="11">
        <v>70</v>
      </c>
      <c r="F45" s="11">
        <v>92</v>
      </c>
      <c r="G45" s="12">
        <v>13.142857143000001</v>
      </c>
      <c r="H45" s="11">
        <v>131.42857142899999</v>
      </c>
      <c r="I45" s="11">
        <v>618</v>
      </c>
      <c r="J45" s="11">
        <v>871</v>
      </c>
      <c r="K45" s="12">
        <f t="shared" si="0"/>
        <v>8.4563106796116507</v>
      </c>
    </row>
    <row r="46" spans="1:11" x14ac:dyDescent="0.3">
      <c r="A46" s="9">
        <v>45</v>
      </c>
      <c r="B46" t="s">
        <v>100</v>
      </c>
      <c r="C46" s="10">
        <v>33175</v>
      </c>
      <c r="D46" t="s">
        <v>3</v>
      </c>
      <c r="E46" s="11">
        <v>356</v>
      </c>
      <c r="F46" s="11">
        <v>401</v>
      </c>
      <c r="G46" s="12">
        <v>18.227272726999999</v>
      </c>
      <c r="H46" s="11">
        <v>112.640449438</v>
      </c>
      <c r="I46" s="11">
        <v>113</v>
      </c>
      <c r="J46" s="11">
        <v>144</v>
      </c>
      <c r="K46" s="12">
        <f t="shared" si="0"/>
        <v>7.6460176991150446</v>
      </c>
    </row>
    <row r="47" spans="1:11" x14ac:dyDescent="0.3">
      <c r="A47" s="9">
        <v>46</v>
      </c>
      <c r="B47" t="s">
        <v>101</v>
      </c>
      <c r="C47" s="10">
        <v>30597</v>
      </c>
      <c r="D47" t="s">
        <v>3</v>
      </c>
      <c r="E47" s="11">
        <v>574</v>
      </c>
      <c r="F47" s="11">
        <v>672</v>
      </c>
      <c r="G47" s="12">
        <v>17.230769231</v>
      </c>
      <c r="H47" s="11">
        <v>117.07317073199999</v>
      </c>
      <c r="I47" s="11">
        <v>239</v>
      </c>
      <c r="J47" s="11">
        <v>323</v>
      </c>
      <c r="K47" s="12">
        <f t="shared" si="0"/>
        <v>8.1087866108786599</v>
      </c>
    </row>
    <row r="48" spans="1:11" x14ac:dyDescent="0.3">
      <c r="A48" s="9">
        <v>47</v>
      </c>
      <c r="B48" t="s">
        <v>102</v>
      </c>
      <c r="C48" s="10">
        <v>32300</v>
      </c>
      <c r="D48" t="s">
        <v>3</v>
      </c>
      <c r="E48" s="11">
        <v>3133</v>
      </c>
      <c r="F48" s="11">
        <v>3834</v>
      </c>
      <c r="G48" s="12">
        <v>32.769230769000004</v>
      </c>
      <c r="H48" s="11">
        <v>122.374720715</v>
      </c>
      <c r="I48" s="11">
        <v>6</v>
      </c>
      <c r="J48" s="11">
        <v>5</v>
      </c>
      <c r="K48" s="12">
        <f t="shared" si="0"/>
        <v>5</v>
      </c>
    </row>
    <row r="49" spans="1:11" x14ac:dyDescent="0.3">
      <c r="A49" s="9">
        <v>48</v>
      </c>
      <c r="B49" t="s">
        <v>103</v>
      </c>
      <c r="C49" s="10">
        <v>29879</v>
      </c>
      <c r="D49" t="s">
        <v>3</v>
      </c>
      <c r="H49" s="11"/>
      <c r="I49" s="11">
        <v>156</v>
      </c>
      <c r="J49" s="11">
        <v>205</v>
      </c>
      <c r="K49" s="12">
        <f t="shared" si="0"/>
        <v>7.884615384615385</v>
      </c>
    </row>
    <row r="50" spans="1:11" x14ac:dyDescent="0.3">
      <c r="A50" s="9">
        <v>49</v>
      </c>
      <c r="B50" t="s">
        <v>104</v>
      </c>
      <c r="C50" s="10">
        <v>32452</v>
      </c>
      <c r="D50" t="s">
        <v>3</v>
      </c>
      <c r="E50" s="11">
        <v>26</v>
      </c>
      <c r="F50" s="11">
        <v>36</v>
      </c>
      <c r="G50" s="12">
        <v>36</v>
      </c>
      <c r="H50" s="11">
        <v>138.46153846199999</v>
      </c>
      <c r="I50" s="11">
        <v>362</v>
      </c>
      <c r="J50" s="11">
        <v>515</v>
      </c>
      <c r="K50" s="12">
        <f t="shared" si="0"/>
        <v>8.5359116022099446</v>
      </c>
    </row>
    <row r="51" spans="1:11" x14ac:dyDescent="0.3">
      <c r="A51" s="9">
        <v>50</v>
      </c>
      <c r="B51" t="s">
        <v>105</v>
      </c>
      <c r="C51" s="10">
        <v>31704</v>
      </c>
      <c r="D51" t="s">
        <v>3</v>
      </c>
      <c r="E51" s="11">
        <v>8</v>
      </c>
      <c r="F51" s="11">
        <v>7</v>
      </c>
      <c r="G51" s="12">
        <v>3.5</v>
      </c>
      <c r="H51" s="11">
        <v>87.5</v>
      </c>
      <c r="K51" s="12" t="str">
        <f t="shared" si="0"/>
        <v/>
      </c>
    </row>
    <row r="52" spans="1:11" x14ac:dyDescent="0.3">
      <c r="A52" s="9">
        <v>51</v>
      </c>
      <c r="B52" t="s">
        <v>106</v>
      </c>
      <c r="C52" s="10">
        <v>31884</v>
      </c>
      <c r="D52" t="s">
        <v>3</v>
      </c>
      <c r="H52" s="11"/>
      <c r="I52" s="11">
        <v>162</v>
      </c>
      <c r="J52" s="11">
        <v>206</v>
      </c>
      <c r="K52" s="12">
        <f t="shared" si="0"/>
        <v>7.6296296296296298</v>
      </c>
    </row>
    <row r="53" spans="1:11" x14ac:dyDescent="0.3">
      <c r="A53" s="9">
        <v>52</v>
      </c>
      <c r="B53" t="s">
        <v>107</v>
      </c>
      <c r="C53" s="10">
        <v>29435</v>
      </c>
      <c r="D53" t="s">
        <v>3</v>
      </c>
      <c r="E53" s="11">
        <v>66</v>
      </c>
      <c r="F53" s="11">
        <v>63</v>
      </c>
      <c r="G53" s="12">
        <v>15.75</v>
      </c>
      <c r="H53" s="11">
        <v>95.454545455000002</v>
      </c>
      <c r="K53" s="12" t="str">
        <f t="shared" si="0"/>
        <v/>
      </c>
    </row>
    <row r="54" spans="1:11" x14ac:dyDescent="0.3">
      <c r="A54" s="9">
        <v>53</v>
      </c>
      <c r="B54" t="s">
        <v>108</v>
      </c>
      <c r="C54" s="10">
        <v>33348</v>
      </c>
      <c r="D54" t="s">
        <v>3</v>
      </c>
      <c r="E54" s="11">
        <v>108</v>
      </c>
      <c r="F54" s="11">
        <v>160</v>
      </c>
      <c r="G54" s="12">
        <v>16</v>
      </c>
      <c r="H54" s="11">
        <v>148.14814814799999</v>
      </c>
      <c r="I54" s="11">
        <v>388</v>
      </c>
      <c r="J54" s="11">
        <v>475</v>
      </c>
      <c r="K54" s="12">
        <f t="shared" si="0"/>
        <v>7.3453608247422677</v>
      </c>
    </row>
    <row r="55" spans="1:11" x14ac:dyDescent="0.3">
      <c r="A55" s="9">
        <v>54</v>
      </c>
      <c r="B55" t="s">
        <v>109</v>
      </c>
      <c r="E55" s="11">
        <v>8</v>
      </c>
      <c r="F55" s="11">
        <v>7</v>
      </c>
      <c r="G55" s="12">
        <v>3.5</v>
      </c>
      <c r="H55" s="11">
        <v>87.5</v>
      </c>
      <c r="I55" s="11">
        <v>112</v>
      </c>
      <c r="J55" s="11">
        <v>145</v>
      </c>
      <c r="K55" s="12">
        <f t="shared" si="0"/>
        <v>7.7678571428571423</v>
      </c>
    </row>
    <row r="56" spans="1:11" x14ac:dyDescent="0.3">
      <c r="A56" s="9">
        <v>55</v>
      </c>
      <c r="B56" t="s">
        <v>110</v>
      </c>
      <c r="C56" s="10">
        <v>32204</v>
      </c>
      <c r="D56" t="s">
        <v>3</v>
      </c>
      <c r="E56" s="11">
        <v>46</v>
      </c>
      <c r="F56" s="11">
        <v>37</v>
      </c>
      <c r="G56" s="12">
        <v>9.25</v>
      </c>
      <c r="H56" s="11">
        <v>80.434782608999996</v>
      </c>
      <c r="I56" s="11">
        <v>430</v>
      </c>
      <c r="J56" s="11">
        <v>636</v>
      </c>
      <c r="K56" s="12">
        <f t="shared" si="0"/>
        <v>8.8744186046511615</v>
      </c>
    </row>
    <row r="57" spans="1:11" x14ac:dyDescent="0.3">
      <c r="A57" s="9">
        <v>56</v>
      </c>
      <c r="B57" t="s">
        <v>111</v>
      </c>
      <c r="C57" s="10">
        <v>32059</v>
      </c>
      <c r="D57" t="s">
        <v>3</v>
      </c>
      <c r="E57" s="11">
        <v>22</v>
      </c>
      <c r="F57" s="11">
        <v>34</v>
      </c>
      <c r="G57" s="12">
        <v>17</v>
      </c>
      <c r="H57" s="11">
        <v>154.54545454500001</v>
      </c>
      <c r="I57" s="11">
        <v>73</v>
      </c>
      <c r="J57" s="11">
        <v>114</v>
      </c>
      <c r="K57" s="12">
        <f t="shared" si="0"/>
        <v>9.3698630136986303</v>
      </c>
    </row>
    <row r="58" spans="1:11" x14ac:dyDescent="0.3">
      <c r="A58" s="9">
        <v>57</v>
      </c>
      <c r="B58" t="s">
        <v>112</v>
      </c>
      <c r="C58" s="10">
        <v>30802</v>
      </c>
      <c r="D58" t="s">
        <v>3</v>
      </c>
      <c r="E58" s="11">
        <v>76</v>
      </c>
      <c r="F58" s="11">
        <v>87</v>
      </c>
      <c r="G58" s="12">
        <v>21.75</v>
      </c>
      <c r="H58" s="11">
        <v>114.47368421100001</v>
      </c>
      <c r="K58" s="12" t="str">
        <f t="shared" si="0"/>
        <v/>
      </c>
    </row>
    <row r="59" spans="1:11" x14ac:dyDescent="0.3">
      <c r="A59" s="9">
        <v>58</v>
      </c>
      <c r="B59" t="s">
        <v>113</v>
      </c>
      <c r="C59" s="10">
        <v>32088</v>
      </c>
      <c r="D59" t="s">
        <v>3</v>
      </c>
      <c r="E59" s="11">
        <v>273</v>
      </c>
      <c r="F59" s="11">
        <v>339</v>
      </c>
      <c r="G59" s="12">
        <v>14.125</v>
      </c>
      <c r="H59" s="11">
        <v>124.17582417600001</v>
      </c>
      <c r="K59" s="12" t="str">
        <f t="shared" si="0"/>
        <v/>
      </c>
    </row>
    <row r="60" spans="1:11" x14ac:dyDescent="0.3">
      <c r="A60" s="9">
        <v>59</v>
      </c>
      <c r="B60" t="s">
        <v>114</v>
      </c>
      <c r="E60" s="11">
        <v>12</v>
      </c>
      <c r="F60" s="11">
        <v>12</v>
      </c>
      <c r="H60" s="11">
        <v>100</v>
      </c>
      <c r="K60" s="12" t="str">
        <f t="shared" si="0"/>
        <v/>
      </c>
    </row>
    <row r="61" spans="1:11" x14ac:dyDescent="0.3">
      <c r="A61" s="9">
        <v>60</v>
      </c>
      <c r="B61" t="s">
        <v>115</v>
      </c>
      <c r="C61" s="10">
        <v>34354</v>
      </c>
      <c r="D61" t="s">
        <v>3</v>
      </c>
      <c r="E61" s="11">
        <v>628</v>
      </c>
      <c r="F61" s="11">
        <v>800</v>
      </c>
      <c r="G61" s="12">
        <v>18.604651163</v>
      </c>
      <c r="H61" s="11">
        <v>127.38853503199999</v>
      </c>
      <c r="I61" s="11">
        <v>1745</v>
      </c>
      <c r="J61" s="11">
        <v>2183</v>
      </c>
      <c r="K61" s="12">
        <f t="shared" si="0"/>
        <v>7.5060171919770777</v>
      </c>
    </row>
    <row r="62" spans="1:11" x14ac:dyDescent="0.3">
      <c r="A62" s="9">
        <v>61</v>
      </c>
      <c r="B62" t="s">
        <v>116</v>
      </c>
      <c r="C62" s="10">
        <v>34307</v>
      </c>
      <c r="D62" t="s">
        <v>3</v>
      </c>
      <c r="E62" s="11">
        <v>30</v>
      </c>
      <c r="F62" s="11">
        <v>17</v>
      </c>
      <c r="G62" s="12">
        <v>5.6666666670000003</v>
      </c>
      <c r="H62" s="11">
        <v>56.666666667000001</v>
      </c>
      <c r="I62" s="11">
        <v>452</v>
      </c>
      <c r="J62" s="11">
        <v>665</v>
      </c>
      <c r="K62" s="12">
        <f t="shared" si="0"/>
        <v>8.8274336283185839</v>
      </c>
    </row>
    <row r="63" spans="1:11" x14ac:dyDescent="0.3">
      <c r="A63" s="9">
        <v>62</v>
      </c>
      <c r="B63" t="s">
        <v>117</v>
      </c>
      <c r="C63" s="10">
        <v>31839</v>
      </c>
      <c r="D63" t="s">
        <v>3</v>
      </c>
      <c r="E63" s="11">
        <v>167</v>
      </c>
      <c r="F63" s="11">
        <v>194</v>
      </c>
      <c r="G63" s="12">
        <v>17.636363635999999</v>
      </c>
      <c r="H63" s="11">
        <v>116.167664671</v>
      </c>
      <c r="I63" s="11">
        <v>30</v>
      </c>
      <c r="J63" s="11">
        <v>45</v>
      </c>
      <c r="K63" s="12">
        <f t="shared" si="0"/>
        <v>9</v>
      </c>
    </row>
    <row r="64" spans="1:11" x14ac:dyDescent="0.3">
      <c r="A64" s="9">
        <v>63</v>
      </c>
      <c r="B64" t="s">
        <v>118</v>
      </c>
      <c r="E64" s="11">
        <v>746</v>
      </c>
      <c r="F64" s="11">
        <v>995</v>
      </c>
      <c r="G64" s="12">
        <v>28.428571429000002</v>
      </c>
      <c r="H64" s="11">
        <v>133.378016086</v>
      </c>
      <c r="K64" s="12" t="str">
        <f t="shared" si="0"/>
        <v/>
      </c>
    </row>
    <row r="65" spans="1:11" x14ac:dyDescent="0.3">
      <c r="A65" s="9">
        <v>64</v>
      </c>
      <c r="B65" t="s">
        <v>119</v>
      </c>
      <c r="C65" s="10">
        <v>31313</v>
      </c>
      <c r="D65" t="s">
        <v>3</v>
      </c>
      <c r="E65" s="11">
        <v>2616</v>
      </c>
      <c r="F65" s="11">
        <v>3313</v>
      </c>
      <c r="G65" s="12">
        <v>29.061403509000002</v>
      </c>
      <c r="H65" s="11">
        <v>126.643730887</v>
      </c>
      <c r="K65" s="12" t="str">
        <f t="shared" si="0"/>
        <v/>
      </c>
    </row>
    <row r="66" spans="1:11" x14ac:dyDescent="0.3">
      <c r="A66" s="9">
        <v>65</v>
      </c>
      <c r="B66" t="s">
        <v>120</v>
      </c>
      <c r="C66" s="10">
        <v>30850</v>
      </c>
      <c r="D66" t="s">
        <v>3</v>
      </c>
      <c r="E66" s="11">
        <v>23</v>
      </c>
      <c r="F66" s="11">
        <v>39</v>
      </c>
      <c r="G66" s="12">
        <v>7.8</v>
      </c>
      <c r="H66" s="11">
        <v>169.565217391</v>
      </c>
      <c r="I66" s="11">
        <v>41</v>
      </c>
      <c r="J66" s="11">
        <v>63</v>
      </c>
      <c r="K66" s="12">
        <f t="shared" ref="K66:K129" si="1">IF(J66&lt;&gt;0,J66/(I66/6),"")</f>
        <v>9.2195121951219523</v>
      </c>
    </row>
    <row r="67" spans="1:11" x14ac:dyDescent="0.3">
      <c r="A67" s="9">
        <v>67</v>
      </c>
      <c r="B67" t="s">
        <v>121</v>
      </c>
      <c r="E67" s="11">
        <v>3</v>
      </c>
      <c r="F67" s="11">
        <v>4</v>
      </c>
      <c r="H67" s="11">
        <v>133.33333333300001</v>
      </c>
      <c r="I67" s="11">
        <v>160</v>
      </c>
      <c r="J67" s="11">
        <v>264</v>
      </c>
      <c r="K67" s="12">
        <f t="shared" si="1"/>
        <v>9.9</v>
      </c>
    </row>
    <row r="68" spans="1:11" x14ac:dyDescent="0.3">
      <c r="A68" s="9">
        <v>68</v>
      </c>
      <c r="B68" t="s">
        <v>122</v>
      </c>
      <c r="C68" s="10">
        <v>27453</v>
      </c>
      <c r="D68" t="s">
        <v>5</v>
      </c>
      <c r="E68" s="11">
        <v>302</v>
      </c>
      <c r="F68" s="11">
        <v>388</v>
      </c>
      <c r="G68" s="12">
        <v>20.421052631999999</v>
      </c>
      <c r="H68" s="11">
        <v>128.47682119199999</v>
      </c>
      <c r="I68" s="11">
        <v>552</v>
      </c>
      <c r="J68" s="11">
        <v>707</v>
      </c>
      <c r="K68" s="12">
        <f t="shared" si="1"/>
        <v>7.6847826086956523</v>
      </c>
    </row>
    <row r="69" spans="1:11" x14ac:dyDescent="0.3">
      <c r="A69" s="9">
        <v>69</v>
      </c>
      <c r="B69" t="s">
        <v>123</v>
      </c>
      <c r="C69" s="10">
        <v>28405</v>
      </c>
      <c r="D69" t="s">
        <v>3</v>
      </c>
      <c r="E69" s="11">
        <v>55</v>
      </c>
      <c r="F69" s="11">
        <v>76</v>
      </c>
      <c r="G69" s="12">
        <v>10.857142856999999</v>
      </c>
      <c r="H69" s="11">
        <v>138.181818182</v>
      </c>
      <c r="I69" s="11">
        <v>193</v>
      </c>
      <c r="J69" s="11">
        <v>246</v>
      </c>
      <c r="K69" s="12">
        <f t="shared" si="1"/>
        <v>7.6476683937823839</v>
      </c>
    </row>
    <row r="70" spans="1:11" x14ac:dyDescent="0.3">
      <c r="A70" s="9">
        <v>71</v>
      </c>
      <c r="B70" t="s">
        <v>124</v>
      </c>
      <c r="C70" s="10">
        <v>30343</v>
      </c>
      <c r="D70" t="s">
        <v>3</v>
      </c>
      <c r="E70" s="11">
        <v>250</v>
      </c>
      <c r="F70" s="11">
        <v>280</v>
      </c>
      <c r="G70" s="12">
        <v>17.5</v>
      </c>
      <c r="H70" s="11">
        <v>112</v>
      </c>
      <c r="I70" s="11">
        <v>6</v>
      </c>
      <c r="J70" s="11">
        <v>20</v>
      </c>
      <c r="K70" s="12">
        <f t="shared" si="1"/>
        <v>20</v>
      </c>
    </row>
    <row r="71" spans="1:11" x14ac:dyDescent="0.3">
      <c r="A71" s="9">
        <v>72</v>
      </c>
      <c r="B71" t="s">
        <v>125</v>
      </c>
      <c r="C71" s="10">
        <v>30115</v>
      </c>
      <c r="D71" t="s">
        <v>4</v>
      </c>
      <c r="H71" s="11"/>
      <c r="I71" s="11">
        <v>49</v>
      </c>
      <c r="J71" s="11">
        <v>91</v>
      </c>
      <c r="K71" s="12">
        <f t="shared" si="1"/>
        <v>11.142857142857144</v>
      </c>
    </row>
    <row r="72" spans="1:11" x14ac:dyDescent="0.3">
      <c r="A72" s="9">
        <v>73</v>
      </c>
      <c r="B72" t="s">
        <v>126</v>
      </c>
      <c r="C72" s="10">
        <v>32909</v>
      </c>
      <c r="D72" t="s">
        <v>3</v>
      </c>
      <c r="E72" s="11">
        <v>189</v>
      </c>
      <c r="F72" s="11">
        <v>184</v>
      </c>
      <c r="G72" s="12">
        <v>8</v>
      </c>
      <c r="H72" s="11">
        <v>97.354497354000003</v>
      </c>
      <c r="I72" s="11">
        <v>2707</v>
      </c>
      <c r="J72" s="11">
        <v>3264</v>
      </c>
      <c r="K72" s="12">
        <f t="shared" si="1"/>
        <v>7.2345770225341708</v>
      </c>
    </row>
    <row r="73" spans="1:11" x14ac:dyDescent="0.3">
      <c r="A73" s="9">
        <v>74</v>
      </c>
      <c r="B73" t="s">
        <v>127</v>
      </c>
      <c r="C73" s="10">
        <v>30227</v>
      </c>
      <c r="D73" t="s">
        <v>4</v>
      </c>
      <c r="E73" s="11">
        <v>13</v>
      </c>
      <c r="F73" s="11">
        <v>5</v>
      </c>
      <c r="G73" s="12">
        <v>2.5</v>
      </c>
      <c r="H73" s="11">
        <v>38.461538462</v>
      </c>
      <c r="I73" s="11">
        <v>179</v>
      </c>
      <c r="J73" s="11">
        <v>293</v>
      </c>
      <c r="K73" s="12">
        <f t="shared" si="1"/>
        <v>9.8212290502793298</v>
      </c>
    </row>
    <row r="74" spans="1:11" x14ac:dyDescent="0.3">
      <c r="A74" s="9">
        <v>75</v>
      </c>
      <c r="B74" t="s">
        <v>128</v>
      </c>
      <c r="C74" s="10">
        <v>28072</v>
      </c>
      <c r="D74" t="s">
        <v>4</v>
      </c>
      <c r="E74" s="11">
        <v>96</v>
      </c>
      <c r="F74" s="11">
        <v>124</v>
      </c>
      <c r="G74" s="12">
        <v>12.4</v>
      </c>
      <c r="H74" s="11">
        <v>129.16666666699999</v>
      </c>
      <c r="I74" s="11">
        <v>916</v>
      </c>
      <c r="J74" s="11">
        <v>1126</v>
      </c>
      <c r="K74" s="12">
        <f t="shared" si="1"/>
        <v>7.3755458515283845</v>
      </c>
    </row>
    <row r="75" spans="1:11" x14ac:dyDescent="0.3">
      <c r="A75" s="9">
        <v>76</v>
      </c>
      <c r="B75" t="s">
        <v>129</v>
      </c>
      <c r="E75" s="11">
        <v>2</v>
      </c>
      <c r="F75" s="11">
        <v>5</v>
      </c>
      <c r="H75" s="11">
        <v>250</v>
      </c>
      <c r="I75" s="11">
        <v>150</v>
      </c>
      <c r="J75" s="11">
        <v>204</v>
      </c>
      <c r="K75" s="12">
        <f t="shared" si="1"/>
        <v>8.16</v>
      </c>
    </row>
    <row r="76" spans="1:11" x14ac:dyDescent="0.3">
      <c r="A76" s="9">
        <v>77</v>
      </c>
      <c r="B76" t="s">
        <v>130</v>
      </c>
      <c r="C76" s="10">
        <v>32273</v>
      </c>
      <c r="D76" t="s">
        <v>3</v>
      </c>
      <c r="E76" s="11">
        <v>37</v>
      </c>
      <c r="F76" s="11">
        <v>35</v>
      </c>
      <c r="G76" s="12">
        <v>35</v>
      </c>
      <c r="H76" s="11">
        <v>94.594594595000004</v>
      </c>
      <c r="K76" s="12" t="str">
        <f t="shared" si="1"/>
        <v/>
      </c>
    </row>
    <row r="77" spans="1:11" x14ac:dyDescent="0.3">
      <c r="A77" s="9">
        <v>78</v>
      </c>
      <c r="B77" t="s">
        <v>131</v>
      </c>
      <c r="C77" s="10">
        <v>33006</v>
      </c>
      <c r="D77" t="s">
        <v>3</v>
      </c>
      <c r="E77" s="11">
        <v>7</v>
      </c>
      <c r="F77" s="11">
        <v>6</v>
      </c>
      <c r="H77" s="11">
        <v>85.714285713999999</v>
      </c>
      <c r="I77" s="11">
        <v>303</v>
      </c>
      <c r="J77" s="11">
        <v>408</v>
      </c>
      <c r="K77" s="12">
        <f t="shared" si="1"/>
        <v>8.0792079207920793</v>
      </c>
    </row>
    <row r="78" spans="1:11" x14ac:dyDescent="0.3">
      <c r="A78" s="9">
        <v>79</v>
      </c>
      <c r="B78" t="s">
        <v>132</v>
      </c>
      <c r="E78" s="11">
        <v>481</v>
      </c>
      <c r="F78" s="11">
        <v>641</v>
      </c>
      <c r="G78" s="12">
        <v>21.366666667000001</v>
      </c>
      <c r="H78" s="11">
        <v>133.26403326400001</v>
      </c>
      <c r="I78" s="11">
        <v>615</v>
      </c>
      <c r="J78" s="11">
        <v>867</v>
      </c>
      <c r="K78" s="12">
        <f t="shared" si="1"/>
        <v>8.4585365853658541</v>
      </c>
    </row>
    <row r="79" spans="1:11" x14ac:dyDescent="0.3">
      <c r="A79" s="9">
        <v>80</v>
      </c>
      <c r="B79" t="s">
        <v>133</v>
      </c>
      <c r="E79" s="11">
        <v>33</v>
      </c>
      <c r="F79" s="11">
        <v>32</v>
      </c>
      <c r="G79" s="12">
        <v>16</v>
      </c>
      <c r="H79" s="11">
        <v>96.969696970000001</v>
      </c>
      <c r="I79" s="11">
        <v>413</v>
      </c>
      <c r="J79" s="11">
        <v>666</v>
      </c>
      <c r="K79" s="12">
        <f t="shared" si="1"/>
        <v>9.6755447941888626</v>
      </c>
    </row>
    <row r="80" spans="1:11" x14ac:dyDescent="0.3">
      <c r="A80" s="9">
        <v>81</v>
      </c>
      <c r="B80" t="s">
        <v>134</v>
      </c>
      <c r="C80" s="10">
        <v>31117</v>
      </c>
      <c r="D80" t="s">
        <v>91</v>
      </c>
      <c r="E80" s="11">
        <v>6</v>
      </c>
      <c r="F80" s="11">
        <v>3</v>
      </c>
      <c r="G80" s="12">
        <v>1.5</v>
      </c>
      <c r="H80" s="11">
        <v>50</v>
      </c>
      <c r="I80" s="11">
        <v>248</v>
      </c>
      <c r="J80" s="11">
        <v>306</v>
      </c>
      <c r="K80" s="12">
        <f t="shared" si="1"/>
        <v>7.4032258064516121</v>
      </c>
    </row>
    <row r="81" spans="1:11" x14ac:dyDescent="0.3">
      <c r="A81" s="9">
        <v>82</v>
      </c>
      <c r="B81" t="s">
        <v>135</v>
      </c>
      <c r="C81" s="10">
        <v>29856</v>
      </c>
      <c r="D81" t="s">
        <v>15</v>
      </c>
      <c r="E81" s="11">
        <v>2185</v>
      </c>
      <c r="F81" s="11">
        <v>2886</v>
      </c>
      <c r="G81" s="12">
        <v>27.226415094</v>
      </c>
      <c r="H81" s="11">
        <v>132.082379863</v>
      </c>
      <c r="K81" s="12" t="str">
        <f t="shared" si="1"/>
        <v/>
      </c>
    </row>
    <row r="82" spans="1:11" x14ac:dyDescent="0.3">
      <c r="A82" s="9">
        <v>83</v>
      </c>
      <c r="B82" t="s">
        <v>136</v>
      </c>
      <c r="C82" s="10">
        <v>32491</v>
      </c>
      <c r="D82" t="s">
        <v>3</v>
      </c>
      <c r="E82" s="11">
        <v>113</v>
      </c>
      <c r="F82" s="11">
        <v>125</v>
      </c>
      <c r="G82" s="12">
        <v>25</v>
      </c>
      <c r="H82" s="11">
        <v>110.61946902699999</v>
      </c>
      <c r="K82" s="12" t="str">
        <f t="shared" si="1"/>
        <v/>
      </c>
    </row>
    <row r="83" spans="1:11" x14ac:dyDescent="0.3">
      <c r="A83" s="9">
        <v>84</v>
      </c>
      <c r="B83" t="s">
        <v>137</v>
      </c>
      <c r="C83" s="10">
        <v>33948</v>
      </c>
      <c r="D83" t="s">
        <v>3</v>
      </c>
      <c r="E83" s="11">
        <v>14</v>
      </c>
      <c r="F83" s="11">
        <v>11</v>
      </c>
      <c r="G83" s="12">
        <v>11</v>
      </c>
      <c r="H83" s="11">
        <v>78.571428570999998</v>
      </c>
      <c r="I83" s="11">
        <v>516</v>
      </c>
      <c r="J83" s="11">
        <v>786</v>
      </c>
      <c r="K83" s="12">
        <f t="shared" si="1"/>
        <v>9.1395348837209305</v>
      </c>
    </row>
    <row r="84" spans="1:11" x14ac:dyDescent="0.3">
      <c r="A84" s="9">
        <v>85</v>
      </c>
      <c r="B84" t="s">
        <v>138</v>
      </c>
      <c r="C84" s="10">
        <v>31807</v>
      </c>
      <c r="D84" t="s">
        <v>4</v>
      </c>
      <c r="E84" s="11">
        <v>141</v>
      </c>
      <c r="F84" s="11">
        <v>239</v>
      </c>
      <c r="G84" s="12">
        <v>21.727272726999999</v>
      </c>
      <c r="H84" s="11">
        <v>169.503546099</v>
      </c>
      <c r="I84" s="11">
        <v>288</v>
      </c>
      <c r="J84" s="11">
        <v>434</v>
      </c>
      <c r="K84" s="12">
        <f t="shared" si="1"/>
        <v>9.0416666666666661</v>
      </c>
    </row>
    <row r="85" spans="1:11" x14ac:dyDescent="0.3">
      <c r="A85" s="9">
        <v>86</v>
      </c>
      <c r="B85" t="s">
        <v>139</v>
      </c>
      <c r="C85" s="10">
        <v>33032</v>
      </c>
      <c r="D85" t="s">
        <v>7</v>
      </c>
      <c r="E85" s="11">
        <v>3</v>
      </c>
      <c r="F85" s="11">
        <v>1</v>
      </c>
      <c r="G85" s="12">
        <v>1</v>
      </c>
      <c r="H85" s="11">
        <v>33.333333332999999</v>
      </c>
      <c r="I85" s="11">
        <v>157</v>
      </c>
      <c r="J85" s="11">
        <v>239</v>
      </c>
      <c r="K85" s="12">
        <f t="shared" si="1"/>
        <v>9.1337579617834397</v>
      </c>
    </row>
    <row r="86" spans="1:11" x14ac:dyDescent="0.3">
      <c r="A86" s="9">
        <v>87</v>
      </c>
      <c r="B86" t="s">
        <v>140</v>
      </c>
      <c r="C86" s="10">
        <v>30587</v>
      </c>
      <c r="D86" t="s">
        <v>3</v>
      </c>
      <c r="E86" s="11">
        <v>121</v>
      </c>
      <c r="F86" s="11">
        <v>187</v>
      </c>
      <c r="G86" s="12">
        <v>31.166666667000001</v>
      </c>
      <c r="H86" s="11">
        <v>154.54545454500001</v>
      </c>
      <c r="I86" s="11">
        <v>436</v>
      </c>
      <c r="J86" s="11">
        <v>581</v>
      </c>
      <c r="K86" s="12">
        <f t="shared" si="1"/>
        <v>7.9954128440366965</v>
      </c>
    </row>
    <row r="87" spans="1:11" x14ac:dyDescent="0.3">
      <c r="A87" s="9">
        <v>88</v>
      </c>
      <c r="B87" t="s">
        <v>141</v>
      </c>
      <c r="C87" s="10">
        <v>28421</v>
      </c>
      <c r="D87" t="s">
        <v>4</v>
      </c>
      <c r="E87" s="11">
        <v>11</v>
      </c>
      <c r="F87" s="11">
        <v>18</v>
      </c>
      <c r="G87" s="12">
        <v>18</v>
      </c>
      <c r="H87" s="11">
        <v>163.636363636</v>
      </c>
      <c r="K87" s="12" t="str">
        <f t="shared" si="1"/>
        <v/>
      </c>
    </row>
    <row r="88" spans="1:11" x14ac:dyDescent="0.3">
      <c r="A88" s="9">
        <v>89</v>
      </c>
      <c r="B88" t="s">
        <v>142</v>
      </c>
      <c r="C88" s="10">
        <v>27392</v>
      </c>
      <c r="D88" t="s">
        <v>4</v>
      </c>
      <c r="E88" s="11">
        <v>1117</v>
      </c>
      <c r="F88" s="11">
        <v>1400</v>
      </c>
      <c r="G88" s="12">
        <v>30.434782608999999</v>
      </c>
      <c r="H88" s="11">
        <v>125.33572067999999</v>
      </c>
      <c r="I88" s="11">
        <v>238</v>
      </c>
      <c r="J88" s="11">
        <v>310</v>
      </c>
      <c r="K88" s="12">
        <f t="shared" si="1"/>
        <v>7.8151260504201687</v>
      </c>
    </row>
    <row r="89" spans="1:11" x14ac:dyDescent="0.3">
      <c r="A89" s="9">
        <v>90</v>
      </c>
      <c r="B89" t="s">
        <v>143</v>
      </c>
      <c r="C89" s="10">
        <v>29671</v>
      </c>
      <c r="D89" t="s">
        <v>4</v>
      </c>
      <c r="E89" s="11">
        <v>141</v>
      </c>
      <c r="F89" s="11">
        <v>193</v>
      </c>
      <c r="G89" s="12">
        <v>27.571428570999998</v>
      </c>
      <c r="H89" s="11">
        <v>136.879432624</v>
      </c>
      <c r="I89" s="11">
        <v>7</v>
      </c>
      <c r="J89" s="11">
        <v>12</v>
      </c>
      <c r="K89" s="12">
        <f t="shared" si="1"/>
        <v>10.285714285714285</v>
      </c>
    </row>
    <row r="90" spans="1:11" x14ac:dyDescent="0.3">
      <c r="A90" s="9">
        <v>91</v>
      </c>
      <c r="B90" t="s">
        <v>144</v>
      </c>
      <c r="C90" s="10">
        <v>30331</v>
      </c>
      <c r="D90" t="s">
        <v>91</v>
      </c>
      <c r="E90" s="11">
        <v>27</v>
      </c>
      <c r="F90" s="11">
        <v>23</v>
      </c>
      <c r="G90" s="12">
        <v>7.6666666670000003</v>
      </c>
      <c r="H90" s="11">
        <v>85.185185184999995</v>
      </c>
      <c r="I90" s="11">
        <v>30</v>
      </c>
      <c r="J90" s="11">
        <v>36</v>
      </c>
      <c r="K90" s="12">
        <f t="shared" si="1"/>
        <v>7.2</v>
      </c>
    </row>
    <row r="91" spans="1:11" x14ac:dyDescent="0.3">
      <c r="A91" s="9">
        <v>92</v>
      </c>
      <c r="B91" t="s">
        <v>145</v>
      </c>
      <c r="C91" s="10">
        <v>31847</v>
      </c>
      <c r="D91" t="s">
        <v>4</v>
      </c>
      <c r="E91" s="11">
        <v>35</v>
      </c>
      <c r="F91" s="11">
        <v>40</v>
      </c>
      <c r="G91" s="12">
        <v>13.333333333000001</v>
      </c>
      <c r="H91" s="11">
        <v>114.285714286</v>
      </c>
      <c r="K91" s="12" t="str">
        <f t="shared" si="1"/>
        <v/>
      </c>
    </row>
    <row r="92" spans="1:11" x14ac:dyDescent="0.3">
      <c r="A92" s="9">
        <v>93</v>
      </c>
      <c r="B92" t="s">
        <v>146</v>
      </c>
      <c r="C92" s="10">
        <v>30390</v>
      </c>
      <c r="D92" t="s">
        <v>4</v>
      </c>
      <c r="H92" s="11"/>
      <c r="I92" s="11">
        <v>390</v>
      </c>
      <c r="J92" s="11">
        <v>497</v>
      </c>
      <c r="K92" s="12">
        <f t="shared" si="1"/>
        <v>7.6461538461538465</v>
      </c>
    </row>
    <row r="93" spans="1:11" x14ac:dyDescent="0.3">
      <c r="A93" s="9">
        <v>94</v>
      </c>
      <c r="B93" t="s">
        <v>147</v>
      </c>
      <c r="E93" s="11">
        <v>223</v>
      </c>
      <c r="F93" s="11">
        <v>304</v>
      </c>
      <c r="G93" s="12">
        <v>20.266666666999999</v>
      </c>
      <c r="H93" s="11">
        <v>136.32286995499999</v>
      </c>
      <c r="I93" s="11">
        <v>230</v>
      </c>
      <c r="J93" s="11">
        <v>338</v>
      </c>
      <c r="K93" s="12">
        <f t="shared" si="1"/>
        <v>8.8173913043478258</v>
      </c>
    </row>
    <row r="94" spans="1:11" x14ac:dyDescent="0.3">
      <c r="A94" s="9">
        <v>95</v>
      </c>
      <c r="B94" t="s">
        <v>148</v>
      </c>
      <c r="C94" s="10">
        <v>29747</v>
      </c>
      <c r="D94" t="s">
        <v>3</v>
      </c>
      <c r="H94" s="11"/>
      <c r="I94" s="11">
        <v>6</v>
      </c>
      <c r="J94" s="11">
        <v>13</v>
      </c>
      <c r="K94" s="12">
        <f t="shared" si="1"/>
        <v>13</v>
      </c>
    </row>
    <row r="95" spans="1:11" x14ac:dyDescent="0.3">
      <c r="A95" s="9">
        <v>96</v>
      </c>
      <c r="B95" t="s">
        <v>149</v>
      </c>
      <c r="E95" s="11">
        <v>154</v>
      </c>
      <c r="F95" s="11">
        <v>184</v>
      </c>
      <c r="G95" s="12">
        <v>18.399999999999999</v>
      </c>
      <c r="H95" s="11">
        <v>119.480519481</v>
      </c>
      <c r="K95" s="12" t="str">
        <f t="shared" si="1"/>
        <v/>
      </c>
    </row>
    <row r="96" spans="1:11" x14ac:dyDescent="0.3">
      <c r="A96" s="9">
        <v>97</v>
      </c>
      <c r="B96" t="s">
        <v>150</v>
      </c>
      <c r="C96" s="10">
        <v>30239</v>
      </c>
      <c r="D96" t="s">
        <v>3</v>
      </c>
      <c r="E96" s="11">
        <v>19</v>
      </c>
      <c r="F96" s="11">
        <v>15</v>
      </c>
      <c r="G96" s="12">
        <v>15</v>
      </c>
      <c r="H96" s="11">
        <v>78.947368420999993</v>
      </c>
      <c r="K96" s="12" t="str">
        <f t="shared" si="1"/>
        <v/>
      </c>
    </row>
    <row r="97" spans="1:11" x14ac:dyDescent="0.3">
      <c r="A97" s="9">
        <v>98</v>
      </c>
      <c r="B97" t="s">
        <v>151</v>
      </c>
      <c r="C97" s="10">
        <v>31847</v>
      </c>
      <c r="D97" t="s">
        <v>15</v>
      </c>
      <c r="E97" s="11">
        <v>141</v>
      </c>
      <c r="F97" s="11">
        <v>178</v>
      </c>
      <c r="G97" s="12">
        <v>19.777777778000001</v>
      </c>
      <c r="H97" s="11">
        <v>126.24113475199999</v>
      </c>
      <c r="I97" s="11">
        <v>12</v>
      </c>
      <c r="J97" s="11">
        <v>15</v>
      </c>
      <c r="K97" s="12">
        <f t="shared" si="1"/>
        <v>7.5</v>
      </c>
    </row>
    <row r="98" spans="1:11" x14ac:dyDescent="0.3">
      <c r="A98" s="9">
        <v>99</v>
      </c>
      <c r="B98" t="s">
        <v>152</v>
      </c>
      <c r="C98" s="10">
        <v>28943</v>
      </c>
      <c r="D98" t="s">
        <v>3</v>
      </c>
      <c r="E98" s="11">
        <v>1</v>
      </c>
      <c r="F98" s="11">
        <v>0</v>
      </c>
      <c r="G98" s="12">
        <v>0</v>
      </c>
      <c r="H98" s="11">
        <v>0</v>
      </c>
      <c r="I98" s="11">
        <v>50</v>
      </c>
      <c r="J98" s="11">
        <v>58</v>
      </c>
      <c r="K98" s="12">
        <f t="shared" si="1"/>
        <v>6.9599999999999991</v>
      </c>
    </row>
    <row r="99" spans="1:11" x14ac:dyDescent="0.3">
      <c r="A99" s="9">
        <v>100</v>
      </c>
      <c r="B99" t="s">
        <v>153</v>
      </c>
      <c r="C99" s="10">
        <v>31231</v>
      </c>
      <c r="D99" t="s">
        <v>7</v>
      </c>
      <c r="E99" s="11">
        <v>26</v>
      </c>
      <c r="F99" s="11">
        <v>21</v>
      </c>
      <c r="G99" s="12">
        <v>10.5</v>
      </c>
      <c r="H99" s="11">
        <v>80.769230769000004</v>
      </c>
      <c r="K99" s="12" t="str">
        <f t="shared" si="1"/>
        <v/>
      </c>
    </row>
    <row r="100" spans="1:11" x14ac:dyDescent="0.3">
      <c r="A100" s="9">
        <v>101</v>
      </c>
      <c r="B100" t="s">
        <v>154</v>
      </c>
      <c r="C100" s="10">
        <v>32973</v>
      </c>
      <c r="D100" t="s">
        <v>4</v>
      </c>
      <c r="E100" s="11">
        <v>909</v>
      </c>
      <c r="F100" s="11">
        <v>1288</v>
      </c>
      <c r="G100" s="12">
        <v>34.810810811000003</v>
      </c>
      <c r="H100" s="11">
        <v>141.69416941700001</v>
      </c>
      <c r="K100" s="12" t="str">
        <f t="shared" si="1"/>
        <v/>
      </c>
    </row>
    <row r="101" spans="1:11" x14ac:dyDescent="0.3">
      <c r="A101" s="9">
        <v>102</v>
      </c>
      <c r="B101" t="s">
        <v>155</v>
      </c>
      <c r="C101" s="10">
        <v>32167</v>
      </c>
      <c r="D101" t="s">
        <v>3</v>
      </c>
      <c r="E101" s="11">
        <v>391</v>
      </c>
      <c r="F101" s="11">
        <v>390</v>
      </c>
      <c r="G101" s="12">
        <v>21.666666667000001</v>
      </c>
      <c r="H101" s="11">
        <v>99.744245523999993</v>
      </c>
      <c r="K101" s="12" t="str">
        <f t="shared" si="1"/>
        <v/>
      </c>
    </row>
    <row r="102" spans="1:11" x14ac:dyDescent="0.3">
      <c r="A102" s="9">
        <v>103</v>
      </c>
      <c r="B102" t="s">
        <v>156</v>
      </c>
      <c r="C102" s="10">
        <v>29119</v>
      </c>
      <c r="D102" t="s">
        <v>94</v>
      </c>
      <c r="E102" s="11">
        <v>2972</v>
      </c>
      <c r="F102" s="11">
        <v>4525</v>
      </c>
      <c r="G102" s="12">
        <v>41.136363635999999</v>
      </c>
      <c r="H102" s="11">
        <v>152.25437415900001</v>
      </c>
      <c r="I102" s="11">
        <v>579</v>
      </c>
      <c r="J102" s="11">
        <v>750</v>
      </c>
      <c r="K102" s="12">
        <f t="shared" si="1"/>
        <v>7.7720207253886011</v>
      </c>
    </row>
    <row r="103" spans="1:11" x14ac:dyDescent="0.3">
      <c r="A103" s="9">
        <v>104</v>
      </c>
      <c r="B103" t="s">
        <v>157</v>
      </c>
      <c r="C103" s="10">
        <v>31897</v>
      </c>
      <c r="D103" t="s">
        <v>7</v>
      </c>
      <c r="E103" s="11">
        <v>327</v>
      </c>
      <c r="F103" s="11">
        <v>519</v>
      </c>
      <c r="G103" s="12">
        <v>25.95</v>
      </c>
      <c r="H103" s="11">
        <v>158.71559633000001</v>
      </c>
      <c r="I103" s="11">
        <v>1335</v>
      </c>
      <c r="J103" s="11">
        <v>1793</v>
      </c>
      <c r="K103" s="12">
        <f t="shared" si="1"/>
        <v>8.0584269662921351</v>
      </c>
    </row>
    <row r="104" spans="1:11" x14ac:dyDescent="0.3">
      <c r="A104" s="9">
        <v>105</v>
      </c>
      <c r="B104" t="s">
        <v>158</v>
      </c>
      <c r="C104" s="10">
        <v>33220</v>
      </c>
      <c r="D104" t="s">
        <v>15</v>
      </c>
      <c r="E104" s="11">
        <v>423</v>
      </c>
      <c r="F104" s="11">
        <v>538</v>
      </c>
      <c r="G104" s="12">
        <v>24.454545455000002</v>
      </c>
      <c r="H104" s="11">
        <v>127.186761229</v>
      </c>
      <c r="I104" s="11">
        <v>315</v>
      </c>
      <c r="J104" s="11">
        <v>532</v>
      </c>
      <c r="K104" s="12">
        <f t="shared" si="1"/>
        <v>10.133333333333333</v>
      </c>
    </row>
    <row r="105" spans="1:11" x14ac:dyDescent="0.3">
      <c r="A105" s="9">
        <v>106</v>
      </c>
      <c r="B105" t="s">
        <v>159</v>
      </c>
      <c r="C105" s="10">
        <v>31007</v>
      </c>
      <c r="D105" t="s">
        <v>4</v>
      </c>
      <c r="E105" s="11">
        <v>116</v>
      </c>
      <c r="F105" s="11">
        <v>98</v>
      </c>
      <c r="G105" s="12">
        <v>16.333333332999999</v>
      </c>
      <c r="H105" s="11">
        <v>84.482758621000002</v>
      </c>
      <c r="K105" s="12" t="str">
        <f t="shared" si="1"/>
        <v/>
      </c>
    </row>
    <row r="106" spans="1:11" x14ac:dyDescent="0.3">
      <c r="A106" s="9">
        <v>107</v>
      </c>
      <c r="B106" t="s">
        <v>160</v>
      </c>
      <c r="C106" s="10">
        <v>32420</v>
      </c>
      <c r="D106" t="s">
        <v>6</v>
      </c>
      <c r="E106" s="11">
        <v>5</v>
      </c>
      <c r="F106" s="11">
        <v>3</v>
      </c>
      <c r="G106" s="12">
        <v>3</v>
      </c>
      <c r="H106" s="11">
        <v>60</v>
      </c>
      <c r="I106" s="11">
        <v>213</v>
      </c>
      <c r="J106" s="11">
        <v>316</v>
      </c>
      <c r="K106" s="12">
        <f t="shared" si="1"/>
        <v>8.9014084507042259</v>
      </c>
    </row>
    <row r="107" spans="1:11" x14ac:dyDescent="0.3">
      <c r="A107" s="9">
        <v>108</v>
      </c>
      <c r="B107" t="s">
        <v>161</v>
      </c>
      <c r="C107" s="10">
        <v>30367</v>
      </c>
      <c r="D107" t="s">
        <v>4</v>
      </c>
      <c r="E107" s="11">
        <v>15</v>
      </c>
      <c r="F107" s="11">
        <v>8</v>
      </c>
      <c r="G107" s="12">
        <v>8</v>
      </c>
      <c r="H107" s="11">
        <v>53.333333332999999</v>
      </c>
      <c r="I107" s="11">
        <v>42</v>
      </c>
      <c r="J107" s="11">
        <v>60</v>
      </c>
      <c r="K107" s="12">
        <f t="shared" si="1"/>
        <v>8.5714285714285712</v>
      </c>
    </row>
    <row r="108" spans="1:11" x14ac:dyDescent="0.3">
      <c r="A108" s="9">
        <v>109</v>
      </c>
      <c r="B108" t="s">
        <v>162</v>
      </c>
      <c r="C108" s="10">
        <v>31832</v>
      </c>
      <c r="D108" t="s">
        <v>91</v>
      </c>
      <c r="E108" s="11">
        <v>23</v>
      </c>
      <c r="F108" s="11">
        <v>16</v>
      </c>
      <c r="G108" s="12">
        <v>5.3333333329999997</v>
      </c>
      <c r="H108" s="11">
        <v>69.565217391000004</v>
      </c>
      <c r="I108" s="11">
        <v>17</v>
      </c>
      <c r="J108" s="11">
        <v>49</v>
      </c>
      <c r="K108" s="12">
        <f t="shared" si="1"/>
        <v>17.294117647058822</v>
      </c>
    </row>
    <row r="109" spans="1:11" x14ac:dyDescent="0.3">
      <c r="A109" s="9">
        <v>110</v>
      </c>
      <c r="B109" t="s">
        <v>163</v>
      </c>
      <c r="C109" s="10">
        <v>27380</v>
      </c>
      <c r="D109" t="s">
        <v>6</v>
      </c>
      <c r="E109" s="11">
        <v>9</v>
      </c>
      <c r="F109" s="11">
        <v>8</v>
      </c>
      <c r="G109" s="12">
        <v>4</v>
      </c>
      <c r="H109" s="11">
        <v>88.888888889</v>
      </c>
      <c r="I109" s="11">
        <v>165</v>
      </c>
      <c r="J109" s="11">
        <v>199</v>
      </c>
      <c r="K109" s="12">
        <f t="shared" si="1"/>
        <v>7.2363636363636363</v>
      </c>
    </row>
    <row r="110" spans="1:11" x14ac:dyDescent="0.3">
      <c r="A110" s="9">
        <v>111</v>
      </c>
      <c r="B110" t="s">
        <v>164</v>
      </c>
      <c r="C110" s="10">
        <v>30546</v>
      </c>
      <c r="D110" t="s">
        <v>4</v>
      </c>
      <c r="E110" s="11">
        <v>760</v>
      </c>
      <c r="F110" s="11">
        <v>971</v>
      </c>
      <c r="G110" s="12">
        <v>27.742857142999998</v>
      </c>
      <c r="H110" s="11">
        <v>127.76315789500001</v>
      </c>
      <c r="I110" s="11">
        <v>46</v>
      </c>
      <c r="J110" s="11">
        <v>86</v>
      </c>
      <c r="K110" s="12">
        <f t="shared" si="1"/>
        <v>11.217391304347826</v>
      </c>
    </row>
    <row r="111" spans="1:11" x14ac:dyDescent="0.3">
      <c r="A111" s="9">
        <v>112</v>
      </c>
      <c r="B111" t="s">
        <v>165</v>
      </c>
      <c r="C111" s="10">
        <v>31479</v>
      </c>
      <c r="D111" t="s">
        <v>3</v>
      </c>
      <c r="E111" s="11">
        <v>148</v>
      </c>
      <c r="F111" s="11">
        <v>169</v>
      </c>
      <c r="G111" s="12">
        <v>18.777777778000001</v>
      </c>
      <c r="H111" s="11">
        <v>114.189189189</v>
      </c>
      <c r="K111" s="12" t="str">
        <f t="shared" si="1"/>
        <v/>
      </c>
    </row>
    <row r="112" spans="1:11" x14ac:dyDescent="0.3">
      <c r="A112" s="9">
        <v>113</v>
      </c>
      <c r="B112" t="s">
        <v>166</v>
      </c>
      <c r="C112" s="10">
        <v>32342</v>
      </c>
      <c r="D112" t="s">
        <v>94</v>
      </c>
      <c r="E112" s="11">
        <v>110</v>
      </c>
      <c r="F112" s="11">
        <v>182</v>
      </c>
      <c r="G112" s="12">
        <v>13</v>
      </c>
      <c r="H112" s="11">
        <v>165.45454545499999</v>
      </c>
      <c r="I112" s="11">
        <v>266</v>
      </c>
      <c r="J112" s="11">
        <v>392</v>
      </c>
      <c r="K112" s="12">
        <f t="shared" si="1"/>
        <v>8.8421052631578938</v>
      </c>
    </row>
    <row r="113" spans="1:11" x14ac:dyDescent="0.3">
      <c r="A113" s="9">
        <v>114</v>
      </c>
      <c r="B113" t="s">
        <v>167</v>
      </c>
      <c r="E113" s="11">
        <v>66</v>
      </c>
      <c r="F113" s="11">
        <v>63</v>
      </c>
      <c r="G113" s="12">
        <v>12.6</v>
      </c>
      <c r="H113" s="11">
        <v>95.454545455000002</v>
      </c>
      <c r="I113" s="11">
        <v>396</v>
      </c>
      <c r="J113" s="11">
        <v>603</v>
      </c>
      <c r="K113" s="12">
        <f t="shared" si="1"/>
        <v>9.1363636363636367</v>
      </c>
    </row>
    <row r="114" spans="1:11" x14ac:dyDescent="0.3">
      <c r="A114" s="9">
        <v>115</v>
      </c>
      <c r="B114" t="s">
        <v>168</v>
      </c>
      <c r="C114" s="10">
        <v>29055</v>
      </c>
      <c r="D114" t="s">
        <v>91</v>
      </c>
      <c r="E114" s="11">
        <v>3</v>
      </c>
      <c r="F114" s="11">
        <v>4</v>
      </c>
      <c r="G114" s="12">
        <v>4</v>
      </c>
      <c r="H114" s="11">
        <v>133.33333333300001</v>
      </c>
      <c r="I114" s="11">
        <v>249</v>
      </c>
      <c r="J114" s="11">
        <v>306</v>
      </c>
      <c r="K114" s="12">
        <f t="shared" si="1"/>
        <v>7.3734939759036147</v>
      </c>
    </row>
    <row r="115" spans="1:11" x14ac:dyDescent="0.3">
      <c r="A115" s="9">
        <v>116</v>
      </c>
      <c r="B115" t="s">
        <v>169</v>
      </c>
      <c r="C115" s="10">
        <v>29898</v>
      </c>
      <c r="D115" t="s">
        <v>7</v>
      </c>
      <c r="E115" s="11">
        <v>13</v>
      </c>
      <c r="F115" s="11">
        <v>10</v>
      </c>
      <c r="G115" s="12">
        <v>10</v>
      </c>
      <c r="H115" s="11">
        <v>76.923076922999996</v>
      </c>
      <c r="I115" s="11">
        <v>43</v>
      </c>
      <c r="J115" s="11">
        <v>56</v>
      </c>
      <c r="K115" s="12">
        <f t="shared" si="1"/>
        <v>7.8139534883720927</v>
      </c>
    </row>
    <row r="116" spans="1:11" x14ac:dyDescent="0.3">
      <c r="A116" s="9">
        <v>117</v>
      </c>
      <c r="B116" t="s">
        <v>170</v>
      </c>
      <c r="C116" s="10">
        <v>30666</v>
      </c>
      <c r="D116" t="s">
        <v>3</v>
      </c>
      <c r="E116" s="11">
        <v>7</v>
      </c>
      <c r="F116" s="11">
        <v>3</v>
      </c>
      <c r="G116" s="12">
        <v>3</v>
      </c>
      <c r="H116" s="11">
        <v>42.857142856999999</v>
      </c>
      <c r="I116" s="11">
        <v>50</v>
      </c>
      <c r="J116" s="11">
        <v>88</v>
      </c>
      <c r="K116" s="12">
        <f t="shared" si="1"/>
        <v>10.559999999999999</v>
      </c>
    </row>
    <row r="117" spans="1:11" x14ac:dyDescent="0.3">
      <c r="A117" s="9">
        <v>118</v>
      </c>
      <c r="B117" t="s">
        <v>171</v>
      </c>
      <c r="C117" s="10">
        <v>30267</v>
      </c>
      <c r="D117" t="s">
        <v>3</v>
      </c>
      <c r="E117" s="11">
        <v>24</v>
      </c>
      <c r="F117" s="11">
        <v>33</v>
      </c>
      <c r="G117" s="12">
        <v>33</v>
      </c>
      <c r="H117" s="11">
        <v>137.5</v>
      </c>
      <c r="I117" s="11">
        <v>51</v>
      </c>
      <c r="J117" s="11">
        <v>80</v>
      </c>
      <c r="K117" s="12">
        <f t="shared" si="1"/>
        <v>9.4117647058823533</v>
      </c>
    </row>
    <row r="118" spans="1:11" x14ac:dyDescent="0.3">
      <c r="A118" s="9">
        <v>119</v>
      </c>
      <c r="B118" t="s">
        <v>172</v>
      </c>
      <c r="E118" s="11">
        <v>17</v>
      </c>
      <c r="F118" s="11">
        <v>13</v>
      </c>
      <c r="G118" s="12">
        <v>6.5</v>
      </c>
      <c r="H118" s="11">
        <v>76.470588234999994</v>
      </c>
      <c r="K118" s="12" t="str">
        <f t="shared" si="1"/>
        <v/>
      </c>
    </row>
    <row r="119" spans="1:11" x14ac:dyDescent="0.3">
      <c r="A119" s="9">
        <v>120</v>
      </c>
      <c r="B119" t="s">
        <v>173</v>
      </c>
      <c r="E119" s="11">
        <v>99</v>
      </c>
      <c r="F119" s="11">
        <v>116</v>
      </c>
      <c r="G119" s="12">
        <v>16.571428570999998</v>
      </c>
      <c r="H119" s="11">
        <v>117.171717172</v>
      </c>
      <c r="I119" s="11">
        <v>18</v>
      </c>
      <c r="J119" s="11">
        <v>27</v>
      </c>
      <c r="K119" s="12">
        <f t="shared" si="1"/>
        <v>9</v>
      </c>
    </row>
    <row r="120" spans="1:11" x14ac:dyDescent="0.3">
      <c r="A120" s="9">
        <v>121</v>
      </c>
      <c r="B120" t="s">
        <v>174</v>
      </c>
      <c r="C120" s="10">
        <v>31185</v>
      </c>
      <c r="D120" t="s">
        <v>7</v>
      </c>
      <c r="E120" s="11">
        <v>90</v>
      </c>
      <c r="F120" s="11">
        <v>127</v>
      </c>
      <c r="G120" s="12">
        <v>25.4</v>
      </c>
      <c r="H120" s="11">
        <v>141.11111111100001</v>
      </c>
      <c r="I120" s="11">
        <v>289</v>
      </c>
      <c r="J120" s="11">
        <v>409</v>
      </c>
      <c r="K120" s="12">
        <f t="shared" si="1"/>
        <v>8.491349480968859</v>
      </c>
    </row>
    <row r="121" spans="1:11" x14ac:dyDescent="0.3">
      <c r="A121" s="9">
        <v>122</v>
      </c>
      <c r="B121" t="s">
        <v>175</v>
      </c>
      <c r="H121" s="11"/>
      <c r="I121" s="11">
        <v>61</v>
      </c>
      <c r="J121" s="11">
        <v>98</v>
      </c>
      <c r="K121" s="12">
        <f t="shared" si="1"/>
        <v>9.6393442622950829</v>
      </c>
    </row>
    <row r="122" spans="1:11" x14ac:dyDescent="0.3">
      <c r="A122" s="9">
        <v>123</v>
      </c>
      <c r="B122" t="s">
        <v>176</v>
      </c>
      <c r="C122" s="10">
        <v>32669</v>
      </c>
      <c r="D122" t="s">
        <v>7</v>
      </c>
      <c r="E122" s="11">
        <v>1327</v>
      </c>
      <c r="F122" s="11">
        <v>1858</v>
      </c>
      <c r="G122" s="12">
        <v>34.407407407000001</v>
      </c>
      <c r="H122" s="11">
        <v>140.01507158999999</v>
      </c>
      <c r="K122" s="12" t="str">
        <f t="shared" si="1"/>
        <v/>
      </c>
    </row>
    <row r="123" spans="1:11" x14ac:dyDescent="0.3">
      <c r="A123" s="9">
        <v>124</v>
      </c>
      <c r="B123" t="s">
        <v>177</v>
      </c>
      <c r="C123" s="10">
        <v>31712</v>
      </c>
      <c r="D123" t="s">
        <v>4</v>
      </c>
      <c r="E123" s="11">
        <v>3292</v>
      </c>
      <c r="F123" s="11">
        <v>4717</v>
      </c>
      <c r="G123" s="12">
        <v>41.377192981999997</v>
      </c>
      <c r="H123" s="11">
        <v>143.28675577199999</v>
      </c>
      <c r="K123" s="12" t="str">
        <f t="shared" si="1"/>
        <v/>
      </c>
    </row>
    <row r="124" spans="1:11" x14ac:dyDescent="0.3">
      <c r="A124" s="9">
        <v>125</v>
      </c>
      <c r="B124" t="s">
        <v>178</v>
      </c>
      <c r="C124" s="10">
        <v>33144</v>
      </c>
      <c r="D124" t="s">
        <v>15</v>
      </c>
      <c r="E124" s="11">
        <v>9</v>
      </c>
      <c r="F124" s="11">
        <v>12</v>
      </c>
      <c r="H124" s="11">
        <v>133.33333333300001</v>
      </c>
      <c r="I124" s="11">
        <v>25</v>
      </c>
      <c r="J124" s="11">
        <v>32</v>
      </c>
      <c r="K124" s="12">
        <f t="shared" si="1"/>
        <v>7.68</v>
      </c>
    </row>
    <row r="125" spans="1:11" x14ac:dyDescent="0.3">
      <c r="A125" s="9">
        <v>126</v>
      </c>
      <c r="B125" t="s">
        <v>179</v>
      </c>
      <c r="C125" s="10">
        <v>31677</v>
      </c>
      <c r="D125" t="s">
        <v>3</v>
      </c>
      <c r="E125" s="11">
        <v>260</v>
      </c>
      <c r="F125" s="11">
        <v>304</v>
      </c>
      <c r="G125" s="12">
        <v>25.333333332999999</v>
      </c>
      <c r="H125" s="11">
        <v>116.923076923</v>
      </c>
      <c r="K125" s="12" t="str">
        <f t="shared" si="1"/>
        <v/>
      </c>
    </row>
    <row r="126" spans="1:11" x14ac:dyDescent="0.3">
      <c r="A126" s="9">
        <v>127</v>
      </c>
      <c r="B126" t="s">
        <v>180</v>
      </c>
      <c r="C126" s="10">
        <v>32025</v>
      </c>
      <c r="D126" t="s">
        <v>3</v>
      </c>
      <c r="E126" s="11">
        <v>317</v>
      </c>
      <c r="F126" s="11">
        <v>375</v>
      </c>
      <c r="G126" s="12">
        <v>18.75</v>
      </c>
      <c r="H126" s="11">
        <v>118.296529968</v>
      </c>
      <c r="I126" s="11">
        <v>18</v>
      </c>
      <c r="J126" s="11">
        <v>28</v>
      </c>
      <c r="K126" s="12">
        <f t="shared" si="1"/>
        <v>9.3333333333333339</v>
      </c>
    </row>
    <row r="127" spans="1:11" x14ac:dyDescent="0.3">
      <c r="A127" s="9">
        <v>128</v>
      </c>
      <c r="B127" t="s">
        <v>181</v>
      </c>
      <c r="C127" s="10">
        <v>29791</v>
      </c>
      <c r="D127" t="s">
        <v>4</v>
      </c>
      <c r="E127" s="11">
        <v>22</v>
      </c>
      <c r="F127" s="11">
        <v>21</v>
      </c>
      <c r="G127" s="12">
        <v>21</v>
      </c>
      <c r="H127" s="11">
        <v>95.454545455000002</v>
      </c>
      <c r="I127" s="11">
        <v>600</v>
      </c>
      <c r="J127" s="11">
        <v>716</v>
      </c>
      <c r="K127" s="12">
        <f t="shared" si="1"/>
        <v>7.16</v>
      </c>
    </row>
    <row r="128" spans="1:11" x14ac:dyDescent="0.3">
      <c r="A128" s="9">
        <v>129</v>
      </c>
      <c r="B128" t="s">
        <v>182</v>
      </c>
      <c r="C128" s="10">
        <v>30489</v>
      </c>
      <c r="D128" t="s">
        <v>3</v>
      </c>
      <c r="E128" s="11">
        <v>135</v>
      </c>
      <c r="F128" s="11">
        <v>170</v>
      </c>
      <c r="G128" s="12">
        <v>18.888888889</v>
      </c>
      <c r="H128" s="11">
        <v>125.92592592600001</v>
      </c>
      <c r="K128" s="12" t="str">
        <f t="shared" si="1"/>
        <v/>
      </c>
    </row>
    <row r="129" spans="1:11" x14ac:dyDescent="0.3">
      <c r="A129" s="9">
        <v>130</v>
      </c>
      <c r="B129" t="s">
        <v>183</v>
      </c>
      <c r="C129" s="10">
        <v>30596</v>
      </c>
      <c r="D129" t="s">
        <v>94</v>
      </c>
      <c r="E129" s="11">
        <v>1155</v>
      </c>
      <c r="F129" s="11">
        <v>1494</v>
      </c>
      <c r="G129" s="12">
        <v>23.714285713999999</v>
      </c>
      <c r="H129" s="11">
        <v>129.35064935099999</v>
      </c>
      <c r="I129" s="11">
        <v>2711</v>
      </c>
      <c r="J129" s="11">
        <v>3733</v>
      </c>
      <c r="K129" s="12">
        <f t="shared" si="1"/>
        <v>8.2618959793434161</v>
      </c>
    </row>
    <row r="130" spans="1:11" x14ac:dyDescent="0.3">
      <c r="A130" s="9">
        <v>131</v>
      </c>
      <c r="B130" t="s">
        <v>184</v>
      </c>
      <c r="C130" s="10">
        <v>29220</v>
      </c>
      <c r="D130" t="s">
        <v>4</v>
      </c>
      <c r="E130" s="11">
        <v>101</v>
      </c>
      <c r="F130" s="11">
        <v>111</v>
      </c>
      <c r="G130" s="12">
        <v>37</v>
      </c>
      <c r="H130" s="11">
        <v>109.900990099</v>
      </c>
      <c r="I130" s="11">
        <v>18</v>
      </c>
      <c r="J130" s="11">
        <v>26</v>
      </c>
      <c r="K130" s="12">
        <f t="shared" ref="K130:K193" si="2">IF(J130&lt;&gt;0,J130/(I130/6),"")</f>
        <v>8.6666666666666661</v>
      </c>
    </row>
    <row r="131" spans="1:11" x14ac:dyDescent="0.3">
      <c r="A131" s="9">
        <v>132</v>
      </c>
      <c r="B131" t="s">
        <v>185</v>
      </c>
      <c r="C131" s="10">
        <v>34808</v>
      </c>
      <c r="D131" t="s">
        <v>3</v>
      </c>
      <c r="E131" s="11">
        <v>413</v>
      </c>
      <c r="F131" s="11">
        <v>526</v>
      </c>
      <c r="G131" s="12">
        <v>15.939393939</v>
      </c>
      <c r="H131" s="11">
        <v>127.360774818</v>
      </c>
      <c r="I131" s="11">
        <v>233</v>
      </c>
      <c r="J131" s="11">
        <v>318</v>
      </c>
      <c r="K131" s="12">
        <f t="shared" si="2"/>
        <v>8.1888412017167376</v>
      </c>
    </row>
    <row r="132" spans="1:11" x14ac:dyDescent="0.3">
      <c r="A132" s="9">
        <v>133</v>
      </c>
      <c r="B132" t="s">
        <v>186</v>
      </c>
      <c r="C132" s="10">
        <v>28321</v>
      </c>
      <c r="D132" t="s">
        <v>4</v>
      </c>
      <c r="E132" s="11">
        <v>1069</v>
      </c>
      <c r="F132" s="11">
        <v>1322</v>
      </c>
      <c r="G132" s="12">
        <v>27.541666667000001</v>
      </c>
      <c r="H132" s="11">
        <v>123.666978485</v>
      </c>
      <c r="I132" s="11">
        <v>323</v>
      </c>
      <c r="J132" s="11">
        <v>485</v>
      </c>
      <c r="K132" s="12">
        <f t="shared" si="2"/>
        <v>9.0092879256965936</v>
      </c>
    </row>
    <row r="133" spans="1:11" x14ac:dyDescent="0.3">
      <c r="A133" s="9">
        <v>134</v>
      </c>
      <c r="B133" t="s">
        <v>187</v>
      </c>
      <c r="C133" s="10">
        <v>30259</v>
      </c>
      <c r="D133" t="s">
        <v>7</v>
      </c>
      <c r="E133" s="11">
        <v>97</v>
      </c>
      <c r="F133" s="11">
        <v>92</v>
      </c>
      <c r="G133" s="12">
        <v>13.142857143000001</v>
      </c>
      <c r="H133" s="11">
        <v>94.845360825</v>
      </c>
      <c r="K133" s="12" t="str">
        <f t="shared" si="2"/>
        <v/>
      </c>
    </row>
    <row r="134" spans="1:11" x14ac:dyDescent="0.3">
      <c r="A134" s="9">
        <v>135</v>
      </c>
      <c r="B134" t="s">
        <v>188</v>
      </c>
      <c r="C134" s="10">
        <v>29654</v>
      </c>
      <c r="D134" t="s">
        <v>3</v>
      </c>
      <c r="E134" s="11">
        <v>3</v>
      </c>
      <c r="F134" s="11">
        <v>1</v>
      </c>
      <c r="G134" s="12">
        <v>1</v>
      </c>
      <c r="H134" s="11">
        <v>33.333333332999999</v>
      </c>
      <c r="I134" s="11">
        <v>84</v>
      </c>
      <c r="J134" s="11">
        <v>108</v>
      </c>
      <c r="K134" s="12">
        <f t="shared" si="2"/>
        <v>7.7142857142857144</v>
      </c>
    </row>
    <row r="135" spans="1:11" x14ac:dyDescent="0.3">
      <c r="A135" s="9">
        <v>136</v>
      </c>
      <c r="B135" t="s">
        <v>189</v>
      </c>
      <c r="C135" s="10">
        <v>28764</v>
      </c>
      <c r="D135" t="s">
        <v>4</v>
      </c>
      <c r="E135" s="11">
        <v>52</v>
      </c>
      <c r="F135" s="11">
        <v>39</v>
      </c>
      <c r="G135" s="12">
        <v>13</v>
      </c>
      <c r="H135" s="11">
        <v>75</v>
      </c>
      <c r="I135" s="11">
        <v>44</v>
      </c>
      <c r="J135" s="11">
        <v>40</v>
      </c>
      <c r="K135" s="12">
        <f t="shared" si="2"/>
        <v>5.454545454545455</v>
      </c>
    </row>
    <row r="136" spans="1:11" x14ac:dyDescent="0.3">
      <c r="A136" s="9">
        <v>137</v>
      </c>
      <c r="B136" t="s">
        <v>190</v>
      </c>
      <c r="C136" s="10">
        <v>30670</v>
      </c>
      <c r="D136" t="s">
        <v>94</v>
      </c>
      <c r="E136" s="11">
        <v>241</v>
      </c>
      <c r="F136" s="11">
        <v>295</v>
      </c>
      <c r="G136" s="12">
        <v>19.666666667000001</v>
      </c>
      <c r="H136" s="11">
        <v>122.406639004</v>
      </c>
      <c r="I136" s="11">
        <v>244</v>
      </c>
      <c r="J136" s="11">
        <v>354</v>
      </c>
      <c r="K136" s="12">
        <f t="shared" si="2"/>
        <v>8.7049180327868854</v>
      </c>
    </row>
    <row r="137" spans="1:11" x14ac:dyDescent="0.3">
      <c r="A137" s="9">
        <v>138</v>
      </c>
      <c r="B137" t="s">
        <v>191</v>
      </c>
      <c r="C137" s="10">
        <v>33823</v>
      </c>
      <c r="D137" t="s">
        <v>3</v>
      </c>
      <c r="E137" s="11">
        <v>44</v>
      </c>
      <c r="F137" s="11">
        <v>71</v>
      </c>
      <c r="G137" s="12">
        <v>11.833333333000001</v>
      </c>
      <c r="H137" s="11">
        <v>161.363636364</v>
      </c>
      <c r="I137" s="11">
        <v>728</v>
      </c>
      <c r="J137" s="11">
        <v>923</v>
      </c>
      <c r="K137" s="12">
        <f t="shared" si="2"/>
        <v>7.6071428571428577</v>
      </c>
    </row>
    <row r="138" spans="1:11" x14ac:dyDescent="0.3">
      <c r="A138" s="9">
        <v>139</v>
      </c>
      <c r="B138" t="s">
        <v>192</v>
      </c>
      <c r="C138" s="10">
        <v>28882</v>
      </c>
      <c r="D138" t="s">
        <v>15</v>
      </c>
      <c r="E138" s="11">
        <v>109</v>
      </c>
      <c r="F138" s="11">
        <v>121</v>
      </c>
      <c r="G138" s="12">
        <v>17.285714286000001</v>
      </c>
      <c r="H138" s="11">
        <v>111.009174312</v>
      </c>
      <c r="I138" s="11">
        <v>785</v>
      </c>
      <c r="J138" s="11">
        <v>894</v>
      </c>
      <c r="K138" s="12">
        <f t="shared" si="2"/>
        <v>6.8331210191082796</v>
      </c>
    </row>
    <row r="139" spans="1:11" x14ac:dyDescent="0.3">
      <c r="A139" s="9">
        <v>140</v>
      </c>
      <c r="B139" t="s">
        <v>193</v>
      </c>
      <c r="E139" s="11">
        <v>5</v>
      </c>
      <c r="F139" s="11">
        <v>6</v>
      </c>
      <c r="H139" s="11">
        <v>120</v>
      </c>
      <c r="K139" s="12" t="str">
        <f t="shared" si="2"/>
        <v/>
      </c>
    </row>
    <row r="140" spans="1:11" x14ac:dyDescent="0.3">
      <c r="A140" s="9">
        <v>141</v>
      </c>
      <c r="B140" t="s">
        <v>194</v>
      </c>
      <c r="C140" s="10">
        <v>28623</v>
      </c>
      <c r="D140" t="s">
        <v>91</v>
      </c>
      <c r="E140" s="11">
        <v>9</v>
      </c>
      <c r="F140" s="11">
        <v>11</v>
      </c>
      <c r="G140" s="12">
        <v>11</v>
      </c>
      <c r="H140" s="11">
        <v>122.222222222</v>
      </c>
      <c r="I140" s="11">
        <v>69</v>
      </c>
      <c r="J140" s="11">
        <v>100</v>
      </c>
      <c r="K140" s="12">
        <f t="shared" si="2"/>
        <v>8.695652173913043</v>
      </c>
    </row>
    <row r="141" spans="1:11" x14ac:dyDescent="0.3">
      <c r="A141" s="9">
        <v>142</v>
      </c>
      <c r="B141" t="s">
        <v>195</v>
      </c>
      <c r="C141" s="10">
        <v>27896</v>
      </c>
      <c r="D141" t="s">
        <v>4</v>
      </c>
      <c r="E141" s="11">
        <v>13</v>
      </c>
      <c r="F141" s="11">
        <v>4</v>
      </c>
      <c r="G141" s="12">
        <v>4</v>
      </c>
      <c r="H141" s="11">
        <v>30.769230769</v>
      </c>
      <c r="I141" s="11">
        <v>689</v>
      </c>
      <c r="J141" s="11">
        <v>815</v>
      </c>
      <c r="K141" s="12">
        <f t="shared" si="2"/>
        <v>7.0972423802612488</v>
      </c>
    </row>
    <row r="142" spans="1:11" x14ac:dyDescent="0.3">
      <c r="A142" s="9">
        <v>143</v>
      </c>
      <c r="B142" t="s">
        <v>196</v>
      </c>
      <c r="C142" s="10">
        <v>31705</v>
      </c>
      <c r="D142" t="s">
        <v>3</v>
      </c>
      <c r="E142" s="11">
        <v>1</v>
      </c>
      <c r="F142" s="11">
        <v>1</v>
      </c>
      <c r="H142" s="11">
        <v>100</v>
      </c>
      <c r="I142" s="11">
        <v>159</v>
      </c>
      <c r="J142" s="11">
        <v>205</v>
      </c>
      <c r="K142" s="12">
        <f t="shared" si="2"/>
        <v>7.7358490566037732</v>
      </c>
    </row>
    <row r="143" spans="1:11" x14ac:dyDescent="0.3">
      <c r="A143" s="9">
        <v>144</v>
      </c>
      <c r="B143" t="s">
        <v>197</v>
      </c>
      <c r="C143" s="10">
        <v>28272</v>
      </c>
      <c r="D143" t="s">
        <v>91</v>
      </c>
      <c r="E143" s="11">
        <v>1460</v>
      </c>
      <c r="F143" s="11">
        <v>1808</v>
      </c>
      <c r="G143" s="12">
        <v>28.25</v>
      </c>
      <c r="H143" s="11">
        <v>123.835616438</v>
      </c>
      <c r="K143" s="12" t="str">
        <f t="shared" si="2"/>
        <v/>
      </c>
    </row>
    <row r="144" spans="1:11" x14ac:dyDescent="0.3">
      <c r="A144" s="9">
        <v>145</v>
      </c>
      <c r="B144" t="s">
        <v>198</v>
      </c>
      <c r="C144" s="10">
        <v>26227</v>
      </c>
      <c r="D144" t="s">
        <v>4</v>
      </c>
      <c r="E144" s="11">
        <v>24</v>
      </c>
      <c r="F144" s="11">
        <v>19</v>
      </c>
      <c r="G144" s="12">
        <v>9.5</v>
      </c>
      <c r="H144" s="11">
        <v>79.166666667000001</v>
      </c>
      <c r="K144" s="12" t="str">
        <f t="shared" si="2"/>
        <v/>
      </c>
    </row>
    <row r="145" spans="1:11" x14ac:dyDescent="0.3">
      <c r="A145" s="9">
        <v>146</v>
      </c>
      <c r="B145" t="s">
        <v>199</v>
      </c>
      <c r="C145" s="10">
        <v>30418</v>
      </c>
      <c r="D145" t="s">
        <v>94</v>
      </c>
      <c r="E145" s="11">
        <v>1758</v>
      </c>
      <c r="F145" s="11">
        <v>2385</v>
      </c>
      <c r="G145" s="12">
        <v>29.444444443999998</v>
      </c>
      <c r="H145" s="11">
        <v>135.66552901</v>
      </c>
      <c r="I145" s="11">
        <v>557</v>
      </c>
      <c r="J145" s="11">
        <v>825</v>
      </c>
      <c r="K145" s="12">
        <f t="shared" si="2"/>
        <v>8.8868940754039496</v>
      </c>
    </row>
    <row r="146" spans="1:11" x14ac:dyDescent="0.3">
      <c r="A146" s="9">
        <v>147</v>
      </c>
      <c r="B146" t="s">
        <v>200</v>
      </c>
      <c r="C146" s="10">
        <v>32487</v>
      </c>
      <c r="D146" t="s">
        <v>3</v>
      </c>
      <c r="E146" s="11">
        <v>106</v>
      </c>
      <c r="F146" s="11">
        <v>101</v>
      </c>
      <c r="G146" s="12">
        <v>11.222222221999999</v>
      </c>
      <c r="H146" s="11">
        <v>95.283018867999999</v>
      </c>
      <c r="I146" s="11">
        <v>1830</v>
      </c>
      <c r="J146" s="11">
        <v>2461</v>
      </c>
      <c r="K146" s="12">
        <f t="shared" si="2"/>
        <v>8.0688524590163926</v>
      </c>
    </row>
    <row r="147" spans="1:11" x14ac:dyDescent="0.3">
      <c r="A147" s="9">
        <v>148</v>
      </c>
      <c r="B147" t="s">
        <v>201</v>
      </c>
      <c r="C147" s="10">
        <v>25604</v>
      </c>
      <c r="D147" t="s">
        <v>4</v>
      </c>
      <c r="E147" s="11">
        <v>18</v>
      </c>
      <c r="F147" s="11">
        <v>18</v>
      </c>
      <c r="G147" s="12">
        <v>9</v>
      </c>
      <c r="H147" s="11">
        <v>100</v>
      </c>
      <c r="K147" s="12" t="str">
        <f t="shared" si="2"/>
        <v/>
      </c>
    </row>
    <row r="148" spans="1:11" x14ac:dyDescent="0.3">
      <c r="A148" s="9">
        <v>149</v>
      </c>
      <c r="B148" t="s">
        <v>202</v>
      </c>
      <c r="C148" s="10">
        <v>30440</v>
      </c>
      <c r="D148" t="s">
        <v>4</v>
      </c>
      <c r="E148" s="11">
        <v>373</v>
      </c>
      <c r="F148" s="11">
        <v>448</v>
      </c>
      <c r="G148" s="12">
        <v>18.666666667000001</v>
      </c>
      <c r="H148" s="11">
        <v>120.107238606</v>
      </c>
      <c r="I148" s="11">
        <v>818</v>
      </c>
      <c r="J148" s="11">
        <v>1067</v>
      </c>
      <c r="K148" s="12">
        <f t="shared" si="2"/>
        <v>7.8264058679706592</v>
      </c>
    </row>
    <row r="149" spans="1:11" x14ac:dyDescent="0.3">
      <c r="A149" s="9">
        <v>150</v>
      </c>
      <c r="B149" t="s">
        <v>203</v>
      </c>
      <c r="C149" s="10">
        <v>31022</v>
      </c>
      <c r="D149" t="s">
        <v>3</v>
      </c>
      <c r="E149" s="11">
        <v>13</v>
      </c>
      <c r="F149" s="11">
        <v>13</v>
      </c>
      <c r="G149" s="12">
        <v>13</v>
      </c>
      <c r="H149" s="11">
        <v>100</v>
      </c>
      <c r="K149" s="12" t="str">
        <f t="shared" si="2"/>
        <v/>
      </c>
    </row>
    <row r="150" spans="1:11" x14ac:dyDescent="0.3">
      <c r="A150" s="9">
        <v>151</v>
      </c>
      <c r="B150" t="s">
        <v>204</v>
      </c>
      <c r="C150" s="10">
        <v>30494</v>
      </c>
      <c r="D150" t="s">
        <v>7</v>
      </c>
      <c r="E150" s="11">
        <v>157</v>
      </c>
      <c r="F150" s="11">
        <v>166</v>
      </c>
      <c r="G150" s="12">
        <v>7.5454545450000001</v>
      </c>
      <c r="H150" s="11">
        <v>105.73248407600001</v>
      </c>
      <c r="I150" s="11">
        <v>2207</v>
      </c>
      <c r="J150" s="11">
        <v>2454</v>
      </c>
      <c r="K150" s="12">
        <f t="shared" si="2"/>
        <v>6.6714997734481196</v>
      </c>
    </row>
    <row r="151" spans="1:11" x14ac:dyDescent="0.3">
      <c r="A151" s="9">
        <v>152</v>
      </c>
      <c r="B151" t="s">
        <v>205</v>
      </c>
      <c r="E151" s="11">
        <v>327</v>
      </c>
      <c r="F151" s="11">
        <v>437</v>
      </c>
      <c r="G151" s="12">
        <v>27.3125</v>
      </c>
      <c r="H151" s="11">
        <v>133.63914373099999</v>
      </c>
      <c r="K151" s="12" t="str">
        <f t="shared" si="2"/>
        <v/>
      </c>
    </row>
    <row r="152" spans="1:11" x14ac:dyDescent="0.3">
      <c r="A152" s="9">
        <v>153</v>
      </c>
      <c r="B152" t="s">
        <v>206</v>
      </c>
      <c r="C152" s="10">
        <v>31665</v>
      </c>
      <c r="D152" t="s">
        <v>6</v>
      </c>
      <c r="E152" s="11">
        <v>702</v>
      </c>
      <c r="F152" s="11">
        <v>854</v>
      </c>
      <c r="G152" s="12">
        <v>22.473684210999998</v>
      </c>
      <c r="H152" s="11">
        <v>121.652421652</v>
      </c>
      <c r="K152" s="12" t="str">
        <f t="shared" si="2"/>
        <v/>
      </c>
    </row>
    <row r="153" spans="1:11" x14ac:dyDescent="0.3">
      <c r="A153" s="9">
        <v>154</v>
      </c>
      <c r="B153" t="s">
        <v>207</v>
      </c>
      <c r="C153" s="10">
        <v>32346</v>
      </c>
      <c r="D153" t="s">
        <v>3</v>
      </c>
      <c r="E153" s="11">
        <v>14</v>
      </c>
      <c r="F153" s="11">
        <v>24</v>
      </c>
      <c r="G153" s="12">
        <v>12</v>
      </c>
      <c r="H153" s="11">
        <v>171.42857142899999</v>
      </c>
      <c r="K153" s="12" t="str">
        <f t="shared" si="2"/>
        <v/>
      </c>
    </row>
    <row r="154" spans="1:11" x14ac:dyDescent="0.3">
      <c r="A154" s="9">
        <v>155</v>
      </c>
      <c r="B154" t="s">
        <v>208</v>
      </c>
      <c r="C154" s="10">
        <v>30598</v>
      </c>
      <c r="D154" t="s">
        <v>7</v>
      </c>
      <c r="E154" s="11">
        <v>13</v>
      </c>
      <c r="F154" s="11">
        <v>14</v>
      </c>
      <c r="G154" s="12">
        <v>7</v>
      </c>
      <c r="H154" s="11">
        <v>107.692307692</v>
      </c>
      <c r="K154" s="12" t="str">
        <f t="shared" si="2"/>
        <v/>
      </c>
    </row>
    <row r="155" spans="1:11" x14ac:dyDescent="0.3">
      <c r="A155" s="9">
        <v>156</v>
      </c>
      <c r="B155" t="s">
        <v>209</v>
      </c>
      <c r="C155" s="10">
        <v>30876</v>
      </c>
      <c r="D155" t="s">
        <v>7</v>
      </c>
      <c r="E155" s="11">
        <v>1459</v>
      </c>
      <c r="F155" s="11">
        <v>1861</v>
      </c>
      <c r="G155" s="12">
        <v>33.232142856999999</v>
      </c>
      <c r="H155" s="11">
        <v>127.553118574</v>
      </c>
      <c r="I155" s="11">
        <v>6</v>
      </c>
      <c r="J155" s="11">
        <v>16</v>
      </c>
      <c r="K155" s="12">
        <f t="shared" si="2"/>
        <v>16</v>
      </c>
    </row>
    <row r="156" spans="1:11" x14ac:dyDescent="0.3">
      <c r="A156" s="9">
        <v>157</v>
      </c>
      <c r="B156" t="s">
        <v>210</v>
      </c>
      <c r="C156" s="10">
        <v>29988</v>
      </c>
      <c r="D156" t="s">
        <v>94</v>
      </c>
      <c r="E156" s="11">
        <v>5</v>
      </c>
      <c r="F156" s="11">
        <v>4</v>
      </c>
      <c r="G156" s="12">
        <v>4</v>
      </c>
      <c r="H156" s="11">
        <v>80</v>
      </c>
      <c r="I156" s="11">
        <v>150</v>
      </c>
      <c r="J156" s="11">
        <v>160</v>
      </c>
      <c r="K156" s="12">
        <f t="shared" si="2"/>
        <v>6.4</v>
      </c>
    </row>
    <row r="157" spans="1:11" x14ac:dyDescent="0.3">
      <c r="A157" s="9">
        <v>158</v>
      </c>
      <c r="B157" t="s">
        <v>211</v>
      </c>
      <c r="C157" s="10">
        <v>31297</v>
      </c>
      <c r="D157" t="s">
        <v>3</v>
      </c>
      <c r="E157" s="11">
        <v>172</v>
      </c>
      <c r="F157" s="11">
        <v>183</v>
      </c>
      <c r="G157" s="12">
        <v>20.333333332999999</v>
      </c>
      <c r="H157" s="11">
        <v>106.395348837</v>
      </c>
      <c r="I157" s="11">
        <v>12</v>
      </c>
      <c r="J157" s="11">
        <v>20</v>
      </c>
      <c r="K157" s="12">
        <f t="shared" si="2"/>
        <v>10</v>
      </c>
    </row>
    <row r="158" spans="1:11" x14ac:dyDescent="0.3">
      <c r="A158" s="9">
        <v>159</v>
      </c>
      <c r="B158" t="s">
        <v>212</v>
      </c>
      <c r="C158" s="10">
        <v>29873</v>
      </c>
      <c r="D158" t="s">
        <v>3</v>
      </c>
      <c r="E158" s="11">
        <v>3400</v>
      </c>
      <c r="F158" s="11">
        <v>4219</v>
      </c>
      <c r="G158" s="12">
        <v>31.485074626999999</v>
      </c>
      <c r="H158" s="11">
        <v>124.088235294</v>
      </c>
      <c r="K158" s="12" t="str">
        <f t="shared" si="2"/>
        <v/>
      </c>
    </row>
    <row r="159" spans="1:11" x14ac:dyDescent="0.3">
      <c r="A159" s="9">
        <v>160</v>
      </c>
      <c r="B159" t="s">
        <v>213</v>
      </c>
      <c r="C159" s="10">
        <v>29862</v>
      </c>
      <c r="D159" t="s">
        <v>3</v>
      </c>
      <c r="H159" s="11"/>
      <c r="I159" s="11">
        <v>84</v>
      </c>
      <c r="J159" s="11">
        <v>142</v>
      </c>
      <c r="K159" s="12">
        <f t="shared" si="2"/>
        <v>10.142857142857142</v>
      </c>
    </row>
    <row r="160" spans="1:11" x14ac:dyDescent="0.3">
      <c r="A160" s="9">
        <v>161</v>
      </c>
      <c r="B160" t="s">
        <v>214</v>
      </c>
      <c r="C160" s="10">
        <v>25970</v>
      </c>
      <c r="D160" t="s">
        <v>4</v>
      </c>
      <c r="E160" s="11">
        <v>22</v>
      </c>
      <c r="F160" s="11">
        <v>22</v>
      </c>
      <c r="G160" s="12">
        <v>11</v>
      </c>
      <c r="H160" s="11">
        <v>100</v>
      </c>
      <c r="I160" s="11">
        <v>466</v>
      </c>
      <c r="J160" s="11">
        <v>585</v>
      </c>
      <c r="K160" s="12">
        <f t="shared" si="2"/>
        <v>7.5321888412017159</v>
      </c>
    </row>
    <row r="161" spans="1:11" x14ac:dyDescent="0.3">
      <c r="A161" s="9">
        <v>162</v>
      </c>
      <c r="B161" t="s">
        <v>215</v>
      </c>
      <c r="C161" s="10">
        <v>29618</v>
      </c>
      <c r="D161" t="s">
        <v>7</v>
      </c>
      <c r="E161" s="11">
        <v>666</v>
      </c>
      <c r="F161" s="11">
        <v>739</v>
      </c>
      <c r="G161" s="12">
        <v>24.633333332999999</v>
      </c>
      <c r="H161" s="11">
        <v>110.960960961</v>
      </c>
      <c r="K161" s="12" t="str">
        <f t="shared" si="2"/>
        <v/>
      </c>
    </row>
    <row r="162" spans="1:11" x14ac:dyDescent="0.3">
      <c r="A162" s="9">
        <v>163</v>
      </c>
      <c r="B162" t="s">
        <v>216</v>
      </c>
      <c r="C162" s="10">
        <v>25608</v>
      </c>
      <c r="D162" t="s">
        <v>4</v>
      </c>
      <c r="E162" s="11">
        <v>5</v>
      </c>
      <c r="F162" s="11">
        <v>4</v>
      </c>
      <c r="G162" s="12">
        <v>4</v>
      </c>
      <c r="H162" s="11">
        <v>80</v>
      </c>
      <c r="I162" s="11">
        <v>329</v>
      </c>
      <c r="J162" s="11">
        <v>366</v>
      </c>
      <c r="K162" s="12">
        <f t="shared" si="2"/>
        <v>6.6747720364741641</v>
      </c>
    </row>
    <row r="163" spans="1:11" x14ac:dyDescent="0.3">
      <c r="A163" s="9">
        <v>164</v>
      </c>
      <c r="B163" t="s">
        <v>217</v>
      </c>
      <c r="C163" s="10">
        <v>34255</v>
      </c>
      <c r="D163" t="s">
        <v>3</v>
      </c>
      <c r="E163" s="11">
        <v>312</v>
      </c>
      <c r="F163" s="11">
        <v>280</v>
      </c>
      <c r="G163" s="12">
        <v>15.555555556</v>
      </c>
      <c r="H163" s="11">
        <v>89.743589744000005</v>
      </c>
      <c r="I163" s="11">
        <v>37</v>
      </c>
      <c r="J163" s="11">
        <v>39</v>
      </c>
      <c r="K163" s="12">
        <f t="shared" si="2"/>
        <v>6.3243243243243237</v>
      </c>
    </row>
    <row r="164" spans="1:11" x14ac:dyDescent="0.3">
      <c r="A164" s="9">
        <v>165</v>
      </c>
      <c r="B164" t="s">
        <v>218</v>
      </c>
      <c r="C164" s="10">
        <v>30201</v>
      </c>
      <c r="D164" t="s">
        <v>4</v>
      </c>
      <c r="E164" s="11">
        <v>543</v>
      </c>
      <c r="F164" s="11">
        <v>663</v>
      </c>
      <c r="G164" s="12">
        <v>22.862068965999999</v>
      </c>
      <c r="H164" s="11">
        <v>122.099447514</v>
      </c>
      <c r="K164" s="12" t="str">
        <f t="shared" si="2"/>
        <v/>
      </c>
    </row>
    <row r="165" spans="1:11" x14ac:dyDescent="0.3">
      <c r="A165" s="9">
        <v>166</v>
      </c>
      <c r="B165" t="s">
        <v>219</v>
      </c>
      <c r="C165" s="10">
        <v>32430</v>
      </c>
      <c r="D165" t="s">
        <v>4</v>
      </c>
      <c r="E165" s="11">
        <v>864</v>
      </c>
      <c r="F165" s="11">
        <v>1401</v>
      </c>
      <c r="G165" s="12">
        <v>22.596774194000002</v>
      </c>
      <c r="H165" s="11">
        <v>162.152777778</v>
      </c>
      <c r="I165" s="11">
        <v>432</v>
      </c>
      <c r="J165" s="11">
        <v>617</v>
      </c>
      <c r="K165" s="12">
        <f t="shared" si="2"/>
        <v>8.5694444444444446</v>
      </c>
    </row>
    <row r="166" spans="1:11" x14ac:dyDescent="0.3">
      <c r="A166" s="9">
        <v>167</v>
      </c>
      <c r="B166" t="s">
        <v>220</v>
      </c>
      <c r="C166" s="10">
        <v>29226</v>
      </c>
      <c r="D166" t="s">
        <v>6</v>
      </c>
      <c r="E166" s="11">
        <v>16</v>
      </c>
      <c r="F166" s="11">
        <v>15</v>
      </c>
      <c r="G166" s="12">
        <v>15</v>
      </c>
      <c r="H166" s="11">
        <v>93.75</v>
      </c>
      <c r="I166" s="11">
        <v>24</v>
      </c>
      <c r="J166" s="11">
        <v>28</v>
      </c>
      <c r="K166" s="12">
        <f t="shared" si="2"/>
        <v>7</v>
      </c>
    </row>
    <row r="167" spans="1:11" x14ac:dyDescent="0.3">
      <c r="A167" s="9">
        <v>168</v>
      </c>
      <c r="B167" t="s">
        <v>221</v>
      </c>
      <c r="C167" s="10">
        <v>34134</v>
      </c>
      <c r="D167" t="s">
        <v>4</v>
      </c>
      <c r="H167" s="11"/>
      <c r="I167" s="11">
        <v>48</v>
      </c>
      <c r="J167" s="11">
        <v>86</v>
      </c>
      <c r="K167" s="12">
        <f t="shared" si="2"/>
        <v>10.75</v>
      </c>
    </row>
    <row r="168" spans="1:11" x14ac:dyDescent="0.3">
      <c r="A168" s="9">
        <v>169</v>
      </c>
      <c r="B168" t="s">
        <v>222</v>
      </c>
      <c r="C168" s="10">
        <v>33053</v>
      </c>
      <c r="D168" t="s">
        <v>3</v>
      </c>
      <c r="E168" s="11">
        <v>342</v>
      </c>
      <c r="F168" s="11">
        <v>443</v>
      </c>
      <c r="G168" s="12">
        <v>17.038461538</v>
      </c>
      <c r="H168" s="11">
        <v>129.53216374300001</v>
      </c>
      <c r="I168" s="11">
        <v>82</v>
      </c>
      <c r="J168" s="11">
        <v>97</v>
      </c>
      <c r="K168" s="12">
        <f t="shared" si="2"/>
        <v>7.0975609756097562</v>
      </c>
    </row>
    <row r="169" spans="1:11" x14ac:dyDescent="0.3">
      <c r="A169" s="9">
        <v>170</v>
      </c>
      <c r="B169" t="s">
        <v>223</v>
      </c>
      <c r="E169" s="11">
        <v>12</v>
      </c>
      <c r="F169" s="11">
        <v>20</v>
      </c>
      <c r="H169" s="11">
        <v>166.66666666699999</v>
      </c>
      <c r="I169" s="11">
        <v>30</v>
      </c>
      <c r="J169" s="11">
        <v>48</v>
      </c>
      <c r="K169" s="12">
        <f t="shared" si="2"/>
        <v>9.6</v>
      </c>
    </row>
    <row r="170" spans="1:11" x14ac:dyDescent="0.3">
      <c r="A170" s="9">
        <v>171</v>
      </c>
      <c r="B170" t="s">
        <v>224</v>
      </c>
      <c r="C170" s="10">
        <v>31756</v>
      </c>
      <c r="D170" t="s">
        <v>3</v>
      </c>
      <c r="E170" s="11">
        <v>5</v>
      </c>
      <c r="F170" s="11">
        <v>2</v>
      </c>
      <c r="G170" s="12">
        <v>2</v>
      </c>
      <c r="H170" s="11">
        <v>40</v>
      </c>
      <c r="K170" s="12" t="str">
        <f t="shared" si="2"/>
        <v/>
      </c>
    </row>
    <row r="171" spans="1:11" x14ac:dyDescent="0.3">
      <c r="A171" s="9">
        <v>172</v>
      </c>
      <c r="B171" t="s">
        <v>225</v>
      </c>
      <c r="E171" s="11">
        <v>5</v>
      </c>
      <c r="F171" s="11">
        <v>1</v>
      </c>
      <c r="H171" s="11">
        <v>20</v>
      </c>
      <c r="I171" s="11">
        <v>169</v>
      </c>
      <c r="J171" s="11">
        <v>247</v>
      </c>
      <c r="K171" s="12">
        <f t="shared" si="2"/>
        <v>8.7692307692307683</v>
      </c>
    </row>
    <row r="172" spans="1:11" x14ac:dyDescent="0.3">
      <c r="A172" s="9">
        <v>173</v>
      </c>
      <c r="B172" t="s">
        <v>226</v>
      </c>
      <c r="E172" s="11">
        <v>57</v>
      </c>
      <c r="F172" s="11">
        <v>67</v>
      </c>
      <c r="G172" s="12">
        <v>13.4</v>
      </c>
      <c r="H172" s="11">
        <v>117.543859649</v>
      </c>
      <c r="K172" s="12" t="str">
        <f t="shared" si="2"/>
        <v/>
      </c>
    </row>
    <row r="173" spans="1:11" x14ac:dyDescent="0.3">
      <c r="A173" s="9">
        <v>174</v>
      </c>
      <c r="B173" t="s">
        <v>227</v>
      </c>
      <c r="E173" s="11">
        <v>8</v>
      </c>
      <c r="F173" s="11">
        <v>4</v>
      </c>
      <c r="G173" s="12">
        <v>2</v>
      </c>
      <c r="H173" s="11">
        <v>50</v>
      </c>
      <c r="I173" s="11">
        <v>6</v>
      </c>
      <c r="J173" s="11">
        <v>9</v>
      </c>
      <c r="K173" s="12">
        <f t="shared" si="2"/>
        <v>9</v>
      </c>
    </row>
    <row r="174" spans="1:11" x14ac:dyDescent="0.3">
      <c r="A174" s="9">
        <v>175</v>
      </c>
      <c r="B174" t="s">
        <v>228</v>
      </c>
      <c r="E174" s="11">
        <v>5</v>
      </c>
      <c r="F174" s="11">
        <v>3</v>
      </c>
      <c r="G174" s="12">
        <v>1.5</v>
      </c>
      <c r="H174" s="11">
        <v>60</v>
      </c>
      <c r="I174" s="11">
        <v>146</v>
      </c>
      <c r="J174" s="11">
        <v>248</v>
      </c>
      <c r="K174" s="12">
        <f t="shared" si="2"/>
        <v>10.191780821917808</v>
      </c>
    </row>
    <row r="175" spans="1:11" x14ac:dyDescent="0.3">
      <c r="A175" s="9">
        <v>176</v>
      </c>
      <c r="B175" t="s">
        <v>229</v>
      </c>
      <c r="C175" s="10">
        <v>29405</v>
      </c>
      <c r="D175" t="s">
        <v>3</v>
      </c>
      <c r="E175" s="11">
        <v>597</v>
      </c>
      <c r="F175" s="11">
        <v>831</v>
      </c>
      <c r="G175" s="12">
        <v>14.839285714000001</v>
      </c>
      <c r="H175" s="11">
        <v>139.19597989900001</v>
      </c>
      <c r="I175" s="11">
        <v>3451</v>
      </c>
      <c r="J175" s="11">
        <v>4050</v>
      </c>
      <c r="K175" s="12">
        <f t="shared" si="2"/>
        <v>7.0414372645609973</v>
      </c>
    </row>
    <row r="176" spans="1:11" x14ac:dyDescent="0.3">
      <c r="A176" s="9">
        <v>177</v>
      </c>
      <c r="B176" t="s">
        <v>230</v>
      </c>
      <c r="C176" s="10">
        <v>33854</v>
      </c>
      <c r="D176" t="s">
        <v>3</v>
      </c>
      <c r="E176" s="11">
        <v>12</v>
      </c>
      <c r="F176" s="11">
        <v>18</v>
      </c>
      <c r="G176" s="12">
        <v>9</v>
      </c>
      <c r="H176" s="11">
        <v>150</v>
      </c>
      <c r="I176" s="11">
        <v>549</v>
      </c>
      <c r="J176" s="11">
        <v>713</v>
      </c>
      <c r="K176" s="12">
        <f t="shared" si="2"/>
        <v>7.7923497267759565</v>
      </c>
    </row>
    <row r="177" spans="1:11" x14ac:dyDescent="0.3">
      <c r="A177" s="9">
        <v>178</v>
      </c>
      <c r="B177" t="s">
        <v>231</v>
      </c>
      <c r="H177" s="11"/>
      <c r="I177" s="11">
        <v>25</v>
      </c>
      <c r="J177" s="11">
        <v>34</v>
      </c>
      <c r="K177" s="12">
        <f t="shared" si="2"/>
        <v>8.16</v>
      </c>
    </row>
    <row r="178" spans="1:11" x14ac:dyDescent="0.3">
      <c r="A178" s="9">
        <v>179</v>
      </c>
      <c r="B178" t="s">
        <v>232</v>
      </c>
      <c r="C178" s="10">
        <v>33461</v>
      </c>
      <c r="D178" t="s">
        <v>3</v>
      </c>
      <c r="E178" s="11">
        <v>26</v>
      </c>
      <c r="F178" s="11">
        <v>20</v>
      </c>
      <c r="G178" s="12">
        <v>10</v>
      </c>
      <c r="H178" s="11">
        <v>76.923076922999996</v>
      </c>
      <c r="K178" s="12" t="str">
        <f t="shared" si="2"/>
        <v/>
      </c>
    </row>
    <row r="179" spans="1:11" x14ac:dyDescent="0.3">
      <c r="A179" s="9">
        <v>180</v>
      </c>
      <c r="B179" t="s">
        <v>233</v>
      </c>
      <c r="C179" s="10">
        <v>27083</v>
      </c>
      <c r="D179" t="s">
        <v>7</v>
      </c>
      <c r="E179" s="11">
        <v>802</v>
      </c>
      <c r="F179" s="11">
        <v>886</v>
      </c>
      <c r="G179" s="12">
        <v>27.6875</v>
      </c>
      <c r="H179" s="11">
        <v>110.473815461</v>
      </c>
      <c r="K179" s="12" t="str">
        <f t="shared" si="2"/>
        <v/>
      </c>
    </row>
    <row r="180" spans="1:11" x14ac:dyDescent="0.3">
      <c r="A180" s="9">
        <v>181</v>
      </c>
      <c r="B180" t="s">
        <v>234</v>
      </c>
      <c r="C180" s="10">
        <v>34253</v>
      </c>
      <c r="D180" t="s">
        <v>3</v>
      </c>
      <c r="E180" s="11">
        <v>689</v>
      </c>
      <c r="F180" s="11">
        <v>1082</v>
      </c>
      <c r="G180" s="12">
        <v>28.473684210999998</v>
      </c>
      <c r="H180" s="11">
        <v>157.039187228</v>
      </c>
      <c r="I180" s="11">
        <v>914</v>
      </c>
      <c r="J180" s="11">
        <v>1385</v>
      </c>
      <c r="K180" s="12">
        <f t="shared" si="2"/>
        <v>9.0919037199124713</v>
      </c>
    </row>
    <row r="181" spans="1:11" x14ac:dyDescent="0.3">
      <c r="A181" s="9">
        <v>182</v>
      </c>
      <c r="B181" t="s">
        <v>235</v>
      </c>
      <c r="C181" s="10">
        <v>30406</v>
      </c>
      <c r="D181" t="s">
        <v>7</v>
      </c>
      <c r="E181" s="11">
        <v>407</v>
      </c>
      <c r="F181" s="11">
        <v>577</v>
      </c>
      <c r="G181" s="12">
        <v>44.384615384999996</v>
      </c>
      <c r="H181" s="11">
        <v>141.76904176900001</v>
      </c>
      <c r="K181" s="12" t="str">
        <f t="shared" si="2"/>
        <v/>
      </c>
    </row>
    <row r="182" spans="1:11" x14ac:dyDescent="0.3">
      <c r="A182" s="9">
        <v>183</v>
      </c>
      <c r="B182" t="s">
        <v>236</v>
      </c>
      <c r="C182" s="10">
        <v>33200</v>
      </c>
      <c r="D182" t="s">
        <v>3</v>
      </c>
      <c r="E182" s="11">
        <v>68</v>
      </c>
      <c r="F182" s="11">
        <v>107</v>
      </c>
      <c r="G182" s="12">
        <v>13.375</v>
      </c>
      <c r="H182" s="11">
        <v>157.352941176</v>
      </c>
      <c r="I182" s="11">
        <v>868</v>
      </c>
      <c r="J182" s="11">
        <v>1262</v>
      </c>
      <c r="K182" s="12">
        <f t="shared" si="2"/>
        <v>8.7235023041474662</v>
      </c>
    </row>
    <row r="183" spans="1:11" x14ac:dyDescent="0.3">
      <c r="A183" s="9">
        <v>184</v>
      </c>
      <c r="B183" t="s">
        <v>237</v>
      </c>
      <c r="C183" s="10">
        <v>30825</v>
      </c>
      <c r="D183" t="s">
        <v>3</v>
      </c>
      <c r="E183" s="11">
        <v>4</v>
      </c>
      <c r="F183" s="11">
        <v>7</v>
      </c>
      <c r="H183" s="11">
        <v>175</v>
      </c>
      <c r="I183" s="11">
        <v>6</v>
      </c>
      <c r="J183" s="11">
        <v>23</v>
      </c>
      <c r="K183" s="12">
        <f t="shared" si="2"/>
        <v>23</v>
      </c>
    </row>
    <row r="184" spans="1:11" x14ac:dyDescent="0.3">
      <c r="A184" s="9">
        <v>185</v>
      </c>
      <c r="B184" t="s">
        <v>238</v>
      </c>
      <c r="C184" s="10">
        <v>32388</v>
      </c>
      <c r="D184" t="s">
        <v>3</v>
      </c>
      <c r="E184" s="11">
        <v>61</v>
      </c>
      <c r="F184" s="11">
        <v>55</v>
      </c>
      <c r="G184" s="12">
        <v>7.8571428570000004</v>
      </c>
      <c r="H184" s="11">
        <v>90.163934425999997</v>
      </c>
      <c r="I184" s="11">
        <v>1999</v>
      </c>
      <c r="J184" s="11">
        <v>2682</v>
      </c>
      <c r="K184" s="12">
        <f t="shared" si="2"/>
        <v>8.0500250125062518</v>
      </c>
    </row>
    <row r="185" spans="1:11" x14ac:dyDescent="0.3">
      <c r="A185" s="9">
        <v>186</v>
      </c>
      <c r="B185" t="s">
        <v>239</v>
      </c>
      <c r="E185" s="11">
        <v>17</v>
      </c>
      <c r="F185" s="11">
        <v>7</v>
      </c>
      <c r="G185" s="12">
        <v>3.5</v>
      </c>
      <c r="H185" s="11">
        <v>41.176470588000001</v>
      </c>
      <c r="I185" s="11">
        <v>183</v>
      </c>
      <c r="J185" s="11">
        <v>207</v>
      </c>
      <c r="K185" s="12">
        <f t="shared" si="2"/>
        <v>6.7868852459016393</v>
      </c>
    </row>
    <row r="186" spans="1:11" x14ac:dyDescent="0.3">
      <c r="A186" s="9">
        <v>187</v>
      </c>
      <c r="B186" t="s">
        <v>240</v>
      </c>
      <c r="C186" s="10">
        <v>32735</v>
      </c>
      <c r="D186" t="s">
        <v>3</v>
      </c>
      <c r="E186" s="11">
        <v>2</v>
      </c>
      <c r="F186" s="11">
        <v>0</v>
      </c>
      <c r="G186" s="12">
        <v>0</v>
      </c>
      <c r="H186" s="11">
        <v>0</v>
      </c>
      <c r="I186" s="11">
        <v>469</v>
      </c>
      <c r="J186" s="11">
        <v>609</v>
      </c>
      <c r="K186" s="12">
        <f t="shared" si="2"/>
        <v>7.7910447761194028</v>
      </c>
    </row>
    <row r="187" spans="1:11" x14ac:dyDescent="0.3">
      <c r="A187" s="9">
        <v>188</v>
      </c>
      <c r="B187" t="s">
        <v>241</v>
      </c>
      <c r="C187" s="10">
        <v>30982</v>
      </c>
      <c r="D187" t="s">
        <v>3</v>
      </c>
      <c r="E187" s="11">
        <v>948</v>
      </c>
      <c r="F187" s="11">
        <v>1150</v>
      </c>
      <c r="G187" s="12">
        <v>22.115384615</v>
      </c>
      <c r="H187" s="11">
        <v>121.308016878</v>
      </c>
      <c r="I187" s="11">
        <v>2113</v>
      </c>
      <c r="J187" s="11">
        <v>2711</v>
      </c>
      <c r="K187" s="12">
        <f t="shared" si="2"/>
        <v>7.6980596308566014</v>
      </c>
    </row>
    <row r="188" spans="1:11" x14ac:dyDescent="0.3">
      <c r="A188" s="9">
        <v>189</v>
      </c>
      <c r="B188" t="s">
        <v>242</v>
      </c>
      <c r="C188" s="10">
        <v>28941</v>
      </c>
      <c r="D188" t="s">
        <v>3</v>
      </c>
      <c r="E188" s="11">
        <v>27</v>
      </c>
      <c r="F188" s="11">
        <v>20</v>
      </c>
      <c r="G188" s="12">
        <v>5</v>
      </c>
      <c r="H188" s="11">
        <v>74.074074073999995</v>
      </c>
      <c r="I188" s="11">
        <v>1249</v>
      </c>
      <c r="J188" s="11">
        <v>1656</v>
      </c>
      <c r="K188" s="12">
        <f t="shared" si="2"/>
        <v>7.9551641313050441</v>
      </c>
    </row>
    <row r="189" spans="1:11" x14ac:dyDescent="0.3">
      <c r="A189" s="9">
        <v>190</v>
      </c>
      <c r="B189" t="s">
        <v>243</v>
      </c>
      <c r="C189" s="10">
        <v>32844</v>
      </c>
      <c r="D189" t="s">
        <v>3</v>
      </c>
      <c r="E189" s="11">
        <v>83</v>
      </c>
      <c r="F189" s="11">
        <v>88</v>
      </c>
      <c r="G189" s="12">
        <v>88</v>
      </c>
      <c r="H189" s="11">
        <v>106.024096386</v>
      </c>
      <c r="I189" s="11">
        <v>943</v>
      </c>
      <c r="J189" s="11">
        <v>1125</v>
      </c>
      <c r="K189" s="12">
        <f t="shared" si="2"/>
        <v>7.1580063626723227</v>
      </c>
    </row>
    <row r="190" spans="1:11" x14ac:dyDescent="0.3">
      <c r="A190" s="9">
        <v>191</v>
      </c>
      <c r="B190" t="s">
        <v>244</v>
      </c>
      <c r="C190" s="10">
        <v>32535</v>
      </c>
      <c r="D190" t="s">
        <v>3</v>
      </c>
      <c r="E190" s="11">
        <v>97</v>
      </c>
      <c r="F190" s="11">
        <v>76</v>
      </c>
      <c r="G190" s="12">
        <v>15.2</v>
      </c>
      <c r="H190" s="11">
        <v>78.350515463999997</v>
      </c>
      <c r="K190" s="12" t="str">
        <f t="shared" si="2"/>
        <v/>
      </c>
    </row>
    <row r="191" spans="1:11" x14ac:dyDescent="0.3">
      <c r="A191" s="9">
        <v>192</v>
      </c>
      <c r="B191" t="s">
        <v>245</v>
      </c>
      <c r="C191" s="10">
        <v>35994</v>
      </c>
      <c r="D191" t="s">
        <v>3</v>
      </c>
      <c r="E191" s="11">
        <v>531</v>
      </c>
      <c r="F191" s="11">
        <v>701</v>
      </c>
      <c r="G191" s="12">
        <v>22.612903226</v>
      </c>
      <c r="H191" s="11">
        <v>132.015065913</v>
      </c>
      <c r="K191" s="12" t="str">
        <f t="shared" si="2"/>
        <v/>
      </c>
    </row>
    <row r="192" spans="1:11" x14ac:dyDescent="0.3">
      <c r="A192" s="9">
        <v>193</v>
      </c>
      <c r="B192" t="s">
        <v>246</v>
      </c>
      <c r="E192" s="11">
        <v>61</v>
      </c>
      <c r="F192" s="11">
        <v>84</v>
      </c>
      <c r="G192" s="12">
        <v>12</v>
      </c>
      <c r="H192" s="11">
        <v>137.70491803300001</v>
      </c>
      <c r="I192" s="11">
        <v>514</v>
      </c>
      <c r="J192" s="11">
        <v>676</v>
      </c>
      <c r="K192" s="12">
        <f t="shared" si="2"/>
        <v>7.891050583657587</v>
      </c>
    </row>
    <row r="193" spans="1:11" x14ac:dyDescent="0.3">
      <c r="A193" s="9">
        <v>194</v>
      </c>
      <c r="B193" t="s">
        <v>247</v>
      </c>
      <c r="C193" s="10">
        <v>27412</v>
      </c>
      <c r="D193" t="s">
        <v>3</v>
      </c>
      <c r="E193" s="11">
        <v>23</v>
      </c>
      <c r="F193" s="11">
        <v>23</v>
      </c>
      <c r="G193" s="12">
        <v>7.6666666670000003</v>
      </c>
      <c r="H193" s="11">
        <v>100</v>
      </c>
      <c r="K193" s="12" t="str">
        <f t="shared" si="2"/>
        <v/>
      </c>
    </row>
    <row r="194" spans="1:11" x14ac:dyDescent="0.3">
      <c r="A194" s="9">
        <v>195</v>
      </c>
      <c r="B194" t="s">
        <v>248</v>
      </c>
      <c r="E194" s="11">
        <v>284</v>
      </c>
      <c r="F194" s="11">
        <v>459</v>
      </c>
      <c r="G194" s="12">
        <v>57.375</v>
      </c>
      <c r="H194" s="11">
        <v>161.61971831</v>
      </c>
      <c r="K194" s="12" t="str">
        <f t="shared" ref="K194:K257" si="3">IF(J194&lt;&gt;0,J194/(I194/6),"")</f>
        <v/>
      </c>
    </row>
    <row r="195" spans="1:11" x14ac:dyDescent="0.3">
      <c r="A195" s="9">
        <v>196</v>
      </c>
      <c r="B195" t="s">
        <v>249</v>
      </c>
      <c r="H195" s="11"/>
      <c r="I195" s="11">
        <v>117</v>
      </c>
      <c r="J195" s="11">
        <v>174</v>
      </c>
      <c r="K195" s="12">
        <f t="shared" si="3"/>
        <v>8.9230769230769234</v>
      </c>
    </row>
    <row r="196" spans="1:11" x14ac:dyDescent="0.3">
      <c r="A196" s="9">
        <v>197</v>
      </c>
      <c r="B196" t="s">
        <v>250</v>
      </c>
      <c r="C196" s="10">
        <v>30073</v>
      </c>
      <c r="D196" t="s">
        <v>7</v>
      </c>
      <c r="E196" s="11">
        <v>358</v>
      </c>
      <c r="F196" s="11">
        <v>409</v>
      </c>
      <c r="G196" s="12">
        <v>18.590909091</v>
      </c>
      <c r="H196" s="11">
        <v>114.245810056</v>
      </c>
      <c r="I196" s="11">
        <v>709</v>
      </c>
      <c r="J196" s="11">
        <v>818</v>
      </c>
      <c r="K196" s="12">
        <f t="shared" si="3"/>
        <v>6.9224259520451339</v>
      </c>
    </row>
    <row r="197" spans="1:11" x14ac:dyDescent="0.3">
      <c r="A197" s="9">
        <v>198</v>
      </c>
      <c r="B197" t="s">
        <v>251</v>
      </c>
      <c r="H197" s="11"/>
      <c r="I197" s="11">
        <v>19</v>
      </c>
      <c r="J197" s="11">
        <v>35</v>
      </c>
      <c r="K197" s="12">
        <f t="shared" si="3"/>
        <v>11.052631578947368</v>
      </c>
    </row>
    <row r="198" spans="1:11" x14ac:dyDescent="0.3">
      <c r="A198" s="9">
        <v>199</v>
      </c>
      <c r="B198" t="s">
        <v>252</v>
      </c>
      <c r="E198" s="11">
        <v>1</v>
      </c>
      <c r="F198" s="11">
        <v>0</v>
      </c>
      <c r="G198" s="12">
        <v>0</v>
      </c>
      <c r="H198" s="11">
        <v>0</v>
      </c>
      <c r="K198" s="12" t="str">
        <f t="shared" si="3"/>
        <v/>
      </c>
    </row>
    <row r="199" spans="1:11" x14ac:dyDescent="0.3">
      <c r="A199" s="9">
        <v>200</v>
      </c>
      <c r="B199" t="s">
        <v>253</v>
      </c>
      <c r="E199" s="11">
        <v>6</v>
      </c>
      <c r="F199" s="11">
        <v>8</v>
      </c>
      <c r="G199" s="12">
        <v>8</v>
      </c>
      <c r="H199" s="11">
        <v>133.33333333300001</v>
      </c>
      <c r="I199" s="11">
        <v>45</v>
      </c>
      <c r="J199" s="11">
        <v>92</v>
      </c>
      <c r="K199" s="12">
        <f t="shared" si="3"/>
        <v>12.266666666666667</v>
      </c>
    </row>
    <row r="200" spans="1:11" x14ac:dyDescent="0.3">
      <c r="A200" s="9">
        <v>201</v>
      </c>
      <c r="B200" t="s">
        <v>254</v>
      </c>
      <c r="C200" s="10">
        <v>34350</v>
      </c>
      <c r="D200" t="s">
        <v>3</v>
      </c>
      <c r="E200" s="11">
        <v>46</v>
      </c>
      <c r="F200" s="11">
        <v>54</v>
      </c>
      <c r="G200" s="12">
        <v>27</v>
      </c>
      <c r="H200" s="11">
        <v>117.39130434800001</v>
      </c>
      <c r="I200" s="11">
        <v>277</v>
      </c>
      <c r="J200" s="11">
        <v>397</v>
      </c>
      <c r="K200" s="12">
        <f t="shared" si="3"/>
        <v>8.5992779783393498</v>
      </c>
    </row>
    <row r="201" spans="1:11" x14ac:dyDescent="0.3">
      <c r="A201" s="9">
        <v>202</v>
      </c>
      <c r="B201" t="s">
        <v>255</v>
      </c>
      <c r="C201" s="10">
        <v>30470</v>
      </c>
      <c r="D201" t="s">
        <v>3</v>
      </c>
      <c r="E201" s="11">
        <v>26</v>
      </c>
      <c r="F201" s="11">
        <v>29</v>
      </c>
      <c r="G201" s="12">
        <v>14.5</v>
      </c>
      <c r="H201" s="11">
        <v>111.53846153800001</v>
      </c>
      <c r="I201" s="11">
        <v>196</v>
      </c>
      <c r="J201" s="11">
        <v>286</v>
      </c>
      <c r="K201" s="12">
        <f t="shared" si="3"/>
        <v>8.7551020408163271</v>
      </c>
    </row>
    <row r="202" spans="1:11" x14ac:dyDescent="0.3">
      <c r="A202" s="9">
        <v>203</v>
      </c>
      <c r="B202" t="s">
        <v>256</v>
      </c>
      <c r="C202" s="10">
        <v>31252</v>
      </c>
      <c r="D202" t="s">
        <v>7</v>
      </c>
      <c r="E202" s="11">
        <v>12</v>
      </c>
      <c r="F202" s="11">
        <v>10</v>
      </c>
      <c r="G202" s="12">
        <v>5</v>
      </c>
      <c r="H202" s="11">
        <v>83.333333332999999</v>
      </c>
      <c r="I202" s="11">
        <v>235</v>
      </c>
      <c r="J202" s="11">
        <v>311</v>
      </c>
      <c r="K202" s="12">
        <f t="shared" si="3"/>
        <v>7.9404255319148938</v>
      </c>
    </row>
    <row r="203" spans="1:11" x14ac:dyDescent="0.3">
      <c r="A203" s="9">
        <v>204</v>
      </c>
      <c r="B203" t="s">
        <v>257</v>
      </c>
      <c r="C203" s="10">
        <v>32895</v>
      </c>
      <c r="D203" t="s">
        <v>3</v>
      </c>
      <c r="E203" s="11">
        <v>10</v>
      </c>
      <c r="F203" s="11">
        <v>6</v>
      </c>
      <c r="H203" s="11">
        <v>60</v>
      </c>
      <c r="I203" s="11">
        <v>226</v>
      </c>
      <c r="J203" s="11">
        <v>248</v>
      </c>
      <c r="K203" s="12">
        <f t="shared" si="3"/>
        <v>6.5840707964601775</v>
      </c>
    </row>
    <row r="204" spans="1:11" x14ac:dyDescent="0.3">
      <c r="A204" s="9">
        <v>205</v>
      </c>
      <c r="B204" t="s">
        <v>258</v>
      </c>
      <c r="C204" s="10">
        <v>29747</v>
      </c>
      <c r="D204" t="s">
        <v>7</v>
      </c>
      <c r="E204" s="11">
        <v>682</v>
      </c>
      <c r="F204" s="11">
        <v>975</v>
      </c>
      <c r="G204" s="12">
        <v>24.375</v>
      </c>
      <c r="H204" s="11">
        <v>142.96187683299999</v>
      </c>
      <c r="I204" s="11">
        <v>1807</v>
      </c>
      <c r="J204" s="11">
        <v>2409</v>
      </c>
      <c r="K204" s="12">
        <f t="shared" si="3"/>
        <v>7.9988931931377971</v>
      </c>
    </row>
    <row r="205" spans="1:11" x14ac:dyDescent="0.3">
      <c r="A205" s="9">
        <v>206</v>
      </c>
      <c r="B205" t="s">
        <v>259</v>
      </c>
      <c r="C205" s="10">
        <v>32755</v>
      </c>
      <c r="D205" t="s">
        <v>3</v>
      </c>
      <c r="E205" s="11">
        <v>11</v>
      </c>
      <c r="F205" s="11">
        <v>8</v>
      </c>
      <c r="G205" s="12">
        <v>4</v>
      </c>
      <c r="H205" s="11">
        <v>72.727272726999999</v>
      </c>
      <c r="I205" s="11">
        <v>111</v>
      </c>
      <c r="J205" s="11">
        <v>174</v>
      </c>
      <c r="K205" s="12">
        <f t="shared" si="3"/>
        <v>9.4054054054054053</v>
      </c>
    </row>
    <row r="206" spans="1:11" x14ac:dyDescent="0.3">
      <c r="A206" s="9">
        <v>207</v>
      </c>
      <c r="B206" t="s">
        <v>260</v>
      </c>
      <c r="C206" s="10">
        <v>33124</v>
      </c>
      <c r="D206" t="s">
        <v>6</v>
      </c>
      <c r="E206" s="11">
        <v>919</v>
      </c>
      <c r="F206" s="11">
        <v>1396</v>
      </c>
      <c r="G206" s="12">
        <v>37.729729730000003</v>
      </c>
      <c r="H206" s="11">
        <v>151.90424374299999</v>
      </c>
      <c r="K206" s="12" t="str">
        <f t="shared" si="3"/>
        <v/>
      </c>
    </row>
    <row r="207" spans="1:11" x14ac:dyDescent="0.3">
      <c r="A207" s="9">
        <v>208</v>
      </c>
      <c r="B207" t="s">
        <v>261</v>
      </c>
      <c r="C207" s="10">
        <v>30900</v>
      </c>
      <c r="D207" t="s">
        <v>15</v>
      </c>
      <c r="E207" s="11">
        <v>456</v>
      </c>
      <c r="F207" s="11">
        <v>604</v>
      </c>
      <c r="G207" s="12">
        <v>20.827586207</v>
      </c>
      <c r="H207" s="11">
        <v>132.45614035099999</v>
      </c>
      <c r="I207" s="11">
        <v>241</v>
      </c>
      <c r="J207" s="11">
        <v>314</v>
      </c>
      <c r="K207" s="12">
        <f t="shared" si="3"/>
        <v>7.8174273858921168</v>
      </c>
    </row>
    <row r="208" spans="1:11" x14ac:dyDescent="0.3">
      <c r="A208" s="9">
        <v>209</v>
      </c>
      <c r="B208" t="s">
        <v>262</v>
      </c>
      <c r="C208" s="10">
        <v>33529</v>
      </c>
      <c r="D208" t="s">
        <v>3</v>
      </c>
      <c r="E208" s="11">
        <v>53</v>
      </c>
      <c r="F208" s="11">
        <v>55</v>
      </c>
      <c r="G208" s="12">
        <v>7.8571428570000004</v>
      </c>
      <c r="H208" s="11">
        <v>103.773584906</v>
      </c>
      <c r="I208" s="11">
        <v>1541</v>
      </c>
      <c r="J208" s="11">
        <v>2244</v>
      </c>
      <c r="K208" s="12">
        <f t="shared" si="3"/>
        <v>8.73718364698248</v>
      </c>
    </row>
    <row r="209" spans="1:11" x14ac:dyDescent="0.3">
      <c r="A209" s="9">
        <v>210</v>
      </c>
      <c r="B209" t="s">
        <v>263</v>
      </c>
      <c r="C209" s="10">
        <v>28699</v>
      </c>
      <c r="D209" t="s">
        <v>15</v>
      </c>
      <c r="E209" s="11">
        <v>108</v>
      </c>
      <c r="F209" s="11">
        <v>106</v>
      </c>
      <c r="G209" s="12">
        <v>13.25</v>
      </c>
      <c r="H209" s="11">
        <v>98.148148148000004</v>
      </c>
      <c r="I209" s="11">
        <v>244</v>
      </c>
      <c r="J209" s="11">
        <v>362</v>
      </c>
      <c r="K209" s="12">
        <f t="shared" si="3"/>
        <v>8.9016393442622963</v>
      </c>
    </row>
    <row r="210" spans="1:11" x14ac:dyDescent="0.3">
      <c r="A210" s="9">
        <v>211</v>
      </c>
      <c r="B210" t="s">
        <v>264</v>
      </c>
      <c r="C210" s="10">
        <v>33133</v>
      </c>
      <c r="D210" t="s">
        <v>15</v>
      </c>
      <c r="E210" s="11">
        <v>46</v>
      </c>
      <c r="F210" s="11">
        <v>42</v>
      </c>
      <c r="G210" s="12">
        <v>14</v>
      </c>
      <c r="H210" s="11">
        <v>91.304347825999997</v>
      </c>
      <c r="I210" s="11">
        <v>57</v>
      </c>
      <c r="J210" s="11">
        <v>96</v>
      </c>
      <c r="K210" s="12">
        <f t="shared" si="3"/>
        <v>10.105263157894736</v>
      </c>
    </row>
    <row r="211" spans="1:11" x14ac:dyDescent="0.3">
      <c r="A211" s="9">
        <v>212</v>
      </c>
      <c r="B211" t="s">
        <v>265</v>
      </c>
      <c r="C211" s="10">
        <v>30855</v>
      </c>
      <c r="D211" t="s">
        <v>15</v>
      </c>
      <c r="E211" s="11">
        <v>3</v>
      </c>
      <c r="F211" s="11">
        <v>3</v>
      </c>
      <c r="H211" s="11">
        <v>100</v>
      </c>
      <c r="I211" s="11">
        <v>122</v>
      </c>
      <c r="J211" s="11">
        <v>167</v>
      </c>
      <c r="K211" s="12">
        <f t="shared" si="3"/>
        <v>8.2131147540983616</v>
      </c>
    </row>
    <row r="212" spans="1:11" x14ac:dyDescent="0.3">
      <c r="A212" s="9">
        <v>213</v>
      </c>
      <c r="B212" t="s">
        <v>266</v>
      </c>
      <c r="C212" s="10">
        <v>29532</v>
      </c>
      <c r="D212" t="s">
        <v>15</v>
      </c>
      <c r="E212" s="11">
        <v>300</v>
      </c>
      <c r="F212" s="11">
        <v>327</v>
      </c>
      <c r="G212" s="12">
        <v>29.727272726999999</v>
      </c>
      <c r="H212" s="11">
        <v>109</v>
      </c>
      <c r="I212" s="11">
        <v>155</v>
      </c>
      <c r="J212" s="11">
        <v>225</v>
      </c>
      <c r="K212" s="12">
        <f t="shared" si="3"/>
        <v>8.7096774193548399</v>
      </c>
    </row>
    <row r="213" spans="1:11" x14ac:dyDescent="0.3">
      <c r="A213" s="9">
        <v>214</v>
      </c>
      <c r="B213" t="s">
        <v>267</v>
      </c>
      <c r="C213" s="10">
        <v>27683</v>
      </c>
      <c r="D213" t="s">
        <v>7</v>
      </c>
      <c r="E213" s="11">
        <v>2219</v>
      </c>
      <c r="F213" s="11">
        <v>2427</v>
      </c>
      <c r="G213" s="12">
        <v>27.269662920999998</v>
      </c>
      <c r="H213" s="11">
        <v>109.37359170800001</v>
      </c>
      <c r="I213" s="11">
        <v>1799</v>
      </c>
      <c r="J213" s="11">
        <v>2348</v>
      </c>
      <c r="K213" s="12">
        <f t="shared" si="3"/>
        <v>7.8310172317954425</v>
      </c>
    </row>
    <row r="214" spans="1:11" x14ac:dyDescent="0.3">
      <c r="A214" s="9">
        <v>215</v>
      </c>
      <c r="B214" t="s">
        <v>268</v>
      </c>
      <c r="C214" s="10">
        <v>34309</v>
      </c>
      <c r="D214" t="s">
        <v>3</v>
      </c>
      <c r="E214" s="11">
        <v>38</v>
      </c>
      <c r="F214" s="11">
        <v>37</v>
      </c>
      <c r="G214" s="12">
        <v>12.333333333000001</v>
      </c>
      <c r="H214" s="11">
        <v>97.368421053000006</v>
      </c>
      <c r="I214" s="11">
        <v>1798</v>
      </c>
      <c r="J214" s="11">
        <v>2299</v>
      </c>
      <c r="K214" s="12">
        <f t="shared" si="3"/>
        <v>7.6718576195773078</v>
      </c>
    </row>
    <row r="215" spans="1:11" x14ac:dyDescent="0.3">
      <c r="A215" s="9">
        <v>216</v>
      </c>
      <c r="B215" t="s">
        <v>269</v>
      </c>
      <c r="E215" s="11">
        <v>135</v>
      </c>
      <c r="F215" s="11">
        <v>183</v>
      </c>
      <c r="G215" s="12">
        <v>36.6</v>
      </c>
      <c r="H215" s="11">
        <v>135.555555556</v>
      </c>
      <c r="K215" s="12" t="str">
        <f t="shared" si="3"/>
        <v/>
      </c>
    </row>
    <row r="216" spans="1:11" x14ac:dyDescent="0.3">
      <c r="A216" s="9">
        <v>217</v>
      </c>
      <c r="B216" t="s">
        <v>270</v>
      </c>
      <c r="C216" s="10">
        <v>28500</v>
      </c>
      <c r="D216" t="s">
        <v>7</v>
      </c>
      <c r="E216" s="11">
        <v>16</v>
      </c>
      <c r="F216" s="11">
        <v>18</v>
      </c>
      <c r="G216" s="12">
        <v>9</v>
      </c>
      <c r="H216" s="11">
        <v>112.5</v>
      </c>
      <c r="I216" s="11">
        <v>76</v>
      </c>
      <c r="J216" s="11">
        <v>134</v>
      </c>
      <c r="K216" s="12">
        <f t="shared" si="3"/>
        <v>10.578947368421053</v>
      </c>
    </row>
    <row r="217" spans="1:11" x14ac:dyDescent="0.3">
      <c r="A217" s="9">
        <v>218</v>
      </c>
      <c r="B217" t="s">
        <v>271</v>
      </c>
      <c r="C217" s="10">
        <v>28400</v>
      </c>
      <c r="D217" t="s">
        <v>7</v>
      </c>
      <c r="E217" s="11">
        <v>24</v>
      </c>
      <c r="F217" s="11">
        <v>26</v>
      </c>
      <c r="G217" s="12">
        <v>13</v>
      </c>
      <c r="H217" s="11">
        <v>108.333333333</v>
      </c>
      <c r="I217" s="11">
        <v>47</v>
      </c>
      <c r="J217" s="11">
        <v>58</v>
      </c>
      <c r="K217" s="12">
        <f t="shared" si="3"/>
        <v>7.4042553191489366</v>
      </c>
    </row>
    <row r="218" spans="1:11" x14ac:dyDescent="0.3">
      <c r="A218" s="9">
        <v>219</v>
      </c>
      <c r="B218" t="s">
        <v>272</v>
      </c>
      <c r="C218" s="10">
        <v>33547</v>
      </c>
      <c r="D218" t="s">
        <v>94</v>
      </c>
      <c r="E218" s="11">
        <v>31</v>
      </c>
      <c r="F218" s="11">
        <v>38</v>
      </c>
      <c r="G218" s="12">
        <v>7.6</v>
      </c>
      <c r="H218" s="11">
        <v>122.58064516100001</v>
      </c>
      <c r="I218" s="11">
        <v>228</v>
      </c>
      <c r="J218" s="11">
        <v>313</v>
      </c>
      <c r="K218" s="12">
        <f t="shared" si="3"/>
        <v>8.2368421052631575</v>
      </c>
    </row>
    <row r="219" spans="1:11" x14ac:dyDescent="0.3">
      <c r="A219" s="9">
        <v>220</v>
      </c>
      <c r="B219" t="s">
        <v>273</v>
      </c>
      <c r="C219" s="10">
        <v>30612</v>
      </c>
      <c r="D219" t="s">
        <v>3</v>
      </c>
      <c r="E219" s="11">
        <v>30</v>
      </c>
      <c r="F219" s="11">
        <v>36</v>
      </c>
      <c r="G219" s="12">
        <v>9</v>
      </c>
      <c r="H219" s="11">
        <v>120</v>
      </c>
      <c r="I219" s="11">
        <v>272</v>
      </c>
      <c r="J219" s="11">
        <v>421</v>
      </c>
      <c r="K219" s="12">
        <f t="shared" si="3"/>
        <v>9.2867647058823533</v>
      </c>
    </row>
    <row r="220" spans="1:11" x14ac:dyDescent="0.3">
      <c r="A220" s="9">
        <v>221</v>
      </c>
      <c r="B220" t="s">
        <v>274</v>
      </c>
      <c r="C220" s="10">
        <v>30786</v>
      </c>
      <c r="D220" t="s">
        <v>7</v>
      </c>
      <c r="E220" s="11">
        <v>1633</v>
      </c>
      <c r="F220" s="11">
        <v>2031</v>
      </c>
      <c r="G220" s="12">
        <v>41.448979592000001</v>
      </c>
      <c r="H220" s="11">
        <v>124.372320882</v>
      </c>
      <c r="I220" s="11">
        <v>701</v>
      </c>
      <c r="J220" s="11">
        <v>847</v>
      </c>
      <c r="K220" s="12">
        <f t="shared" si="3"/>
        <v>7.2496433666191162</v>
      </c>
    </row>
    <row r="221" spans="1:11" x14ac:dyDescent="0.3">
      <c r="A221" s="9">
        <v>222</v>
      </c>
      <c r="B221" t="s">
        <v>275</v>
      </c>
      <c r="C221" s="10">
        <v>32992</v>
      </c>
      <c r="D221" t="s">
        <v>4</v>
      </c>
      <c r="E221" s="11">
        <v>387</v>
      </c>
      <c r="F221" s="11">
        <v>527</v>
      </c>
      <c r="G221" s="12">
        <v>18.821428570999998</v>
      </c>
      <c r="H221" s="11">
        <v>136.17571059400001</v>
      </c>
      <c r="I221" s="11">
        <v>1287</v>
      </c>
      <c r="J221" s="11">
        <v>1849</v>
      </c>
      <c r="K221" s="12">
        <f t="shared" si="3"/>
        <v>8.6200466200466206</v>
      </c>
    </row>
    <row r="222" spans="1:11" x14ac:dyDescent="0.3">
      <c r="A222" s="9">
        <v>223</v>
      </c>
      <c r="B222" t="s">
        <v>276</v>
      </c>
      <c r="C222" s="10">
        <v>28787</v>
      </c>
      <c r="D222" t="s">
        <v>4</v>
      </c>
      <c r="E222" s="11">
        <v>305</v>
      </c>
      <c r="F222" s="11">
        <v>417</v>
      </c>
      <c r="G222" s="12">
        <v>24.529411764999999</v>
      </c>
      <c r="H222" s="11">
        <v>136.72131147499999</v>
      </c>
      <c r="I222" s="11">
        <v>369</v>
      </c>
      <c r="J222" s="11">
        <v>562</v>
      </c>
      <c r="K222" s="12">
        <f t="shared" si="3"/>
        <v>9.1382113821138216</v>
      </c>
    </row>
    <row r="223" spans="1:11" x14ac:dyDescent="0.3">
      <c r="A223" s="9">
        <v>224</v>
      </c>
      <c r="B223" t="s">
        <v>277</v>
      </c>
      <c r="C223" s="10">
        <v>31355</v>
      </c>
      <c r="D223" t="s">
        <v>4</v>
      </c>
      <c r="H223" s="11"/>
      <c r="I223" s="11">
        <v>61</v>
      </c>
      <c r="J223" s="11">
        <v>66</v>
      </c>
      <c r="K223" s="12">
        <f t="shared" si="3"/>
        <v>6.4918032786885247</v>
      </c>
    </row>
    <row r="224" spans="1:11" x14ac:dyDescent="0.3">
      <c r="A224" s="9">
        <v>225</v>
      </c>
      <c r="B224" t="s">
        <v>278</v>
      </c>
      <c r="E224" s="11">
        <v>1</v>
      </c>
      <c r="F224" s="11">
        <v>0</v>
      </c>
      <c r="G224" s="12">
        <v>0</v>
      </c>
      <c r="H224" s="11">
        <v>0</v>
      </c>
      <c r="I224" s="11">
        <v>241</v>
      </c>
      <c r="J224" s="11">
        <v>351</v>
      </c>
      <c r="K224" s="12">
        <f t="shared" si="3"/>
        <v>8.7385892116182582</v>
      </c>
    </row>
    <row r="225" spans="1:11" x14ac:dyDescent="0.3">
      <c r="A225" s="9">
        <v>226</v>
      </c>
      <c r="B225" t="s">
        <v>279</v>
      </c>
      <c r="C225" s="10">
        <v>31770</v>
      </c>
      <c r="D225" t="s">
        <v>3</v>
      </c>
      <c r="E225" s="11">
        <v>230</v>
      </c>
      <c r="F225" s="11">
        <v>218</v>
      </c>
      <c r="G225" s="12">
        <v>16.769230769</v>
      </c>
      <c r="H225" s="11">
        <v>94.782608695999997</v>
      </c>
      <c r="I225" s="11">
        <v>67</v>
      </c>
      <c r="J225" s="11">
        <v>94</v>
      </c>
      <c r="K225" s="12">
        <f t="shared" si="3"/>
        <v>8.4179104477611943</v>
      </c>
    </row>
    <row r="226" spans="1:11" x14ac:dyDescent="0.3">
      <c r="A226" s="9">
        <v>227</v>
      </c>
      <c r="B226" t="s">
        <v>280</v>
      </c>
      <c r="E226" s="11">
        <v>83</v>
      </c>
      <c r="F226" s="11">
        <v>145</v>
      </c>
      <c r="G226" s="12">
        <v>12.083333333000001</v>
      </c>
      <c r="H226" s="11">
        <v>174.69879518100001</v>
      </c>
      <c r="I226" s="11">
        <v>367</v>
      </c>
      <c r="J226" s="11">
        <v>512</v>
      </c>
      <c r="K226" s="12">
        <f t="shared" si="3"/>
        <v>8.3705722070844697</v>
      </c>
    </row>
    <row r="227" spans="1:11" x14ac:dyDescent="0.3">
      <c r="A227" s="9">
        <v>228</v>
      </c>
      <c r="B227" t="s">
        <v>281</v>
      </c>
      <c r="H227" s="11"/>
      <c r="I227" s="11">
        <v>101</v>
      </c>
      <c r="J227" s="11">
        <v>166</v>
      </c>
      <c r="K227" s="12">
        <f t="shared" si="3"/>
        <v>9.8613861386138613</v>
      </c>
    </row>
    <row r="228" spans="1:11" x14ac:dyDescent="0.3">
      <c r="A228" s="9">
        <v>229</v>
      </c>
      <c r="B228" t="s">
        <v>282</v>
      </c>
      <c r="E228" s="11">
        <v>24</v>
      </c>
      <c r="F228" s="11">
        <v>20</v>
      </c>
      <c r="G228" s="12">
        <v>5</v>
      </c>
      <c r="H228" s="11">
        <v>83.333333332999999</v>
      </c>
      <c r="I228" s="11">
        <v>180</v>
      </c>
      <c r="J228" s="11">
        <v>261</v>
      </c>
      <c r="K228" s="12">
        <f t="shared" si="3"/>
        <v>8.6999999999999993</v>
      </c>
    </row>
    <row r="229" spans="1:11" x14ac:dyDescent="0.3">
      <c r="A229" s="9">
        <v>230</v>
      </c>
      <c r="B229" t="s">
        <v>283</v>
      </c>
      <c r="E229" s="11">
        <v>78</v>
      </c>
      <c r="F229" s="11">
        <v>70</v>
      </c>
      <c r="G229" s="12">
        <v>11.666666666999999</v>
      </c>
      <c r="H229" s="11">
        <v>89.743589744000005</v>
      </c>
      <c r="I229" s="11">
        <v>434</v>
      </c>
      <c r="J229" s="11">
        <v>599</v>
      </c>
      <c r="K229" s="12">
        <f t="shared" si="3"/>
        <v>8.281105990783411</v>
      </c>
    </row>
    <row r="230" spans="1:11" x14ac:dyDescent="0.3">
      <c r="A230" s="9">
        <v>231</v>
      </c>
      <c r="B230" t="s">
        <v>284</v>
      </c>
      <c r="C230" s="10">
        <v>31036</v>
      </c>
      <c r="D230" t="s">
        <v>94</v>
      </c>
      <c r="H230" s="11"/>
      <c r="I230" s="11">
        <v>51</v>
      </c>
      <c r="J230" s="11">
        <v>91</v>
      </c>
      <c r="K230" s="12">
        <f t="shared" si="3"/>
        <v>10.705882352941176</v>
      </c>
    </row>
    <row r="231" spans="1:11" x14ac:dyDescent="0.3">
      <c r="A231" s="9">
        <v>232</v>
      </c>
      <c r="B231" t="s">
        <v>285</v>
      </c>
      <c r="C231" s="10">
        <v>31581</v>
      </c>
      <c r="D231" t="s">
        <v>3</v>
      </c>
      <c r="E231" s="11">
        <v>9</v>
      </c>
      <c r="F231" s="11">
        <v>12</v>
      </c>
      <c r="H231" s="11">
        <v>133.33333333300001</v>
      </c>
      <c r="I231" s="11">
        <v>56</v>
      </c>
      <c r="J231" s="11">
        <v>81</v>
      </c>
      <c r="K231" s="12">
        <f t="shared" si="3"/>
        <v>8.6785714285714288</v>
      </c>
    </row>
    <row r="232" spans="1:11" x14ac:dyDescent="0.3">
      <c r="A232" s="9">
        <v>233</v>
      </c>
      <c r="B232" t="s">
        <v>286</v>
      </c>
      <c r="C232" s="10">
        <v>31909</v>
      </c>
      <c r="D232" t="s">
        <v>94</v>
      </c>
      <c r="E232" s="11">
        <v>1879</v>
      </c>
      <c r="F232" s="11">
        <v>2772</v>
      </c>
      <c r="G232" s="12">
        <v>27.176470588000001</v>
      </c>
      <c r="H232" s="11">
        <v>147.525279404</v>
      </c>
      <c r="I232" s="11">
        <v>1276</v>
      </c>
      <c r="J232" s="11">
        <v>1785</v>
      </c>
      <c r="K232" s="12">
        <f t="shared" si="3"/>
        <v>8.3934169278996862</v>
      </c>
    </row>
    <row r="233" spans="1:11" x14ac:dyDescent="0.3">
      <c r="A233" s="9">
        <v>234</v>
      </c>
      <c r="B233" t="s">
        <v>287</v>
      </c>
      <c r="C233" s="10">
        <v>32324</v>
      </c>
      <c r="D233" t="s">
        <v>94</v>
      </c>
      <c r="E233" s="11">
        <v>9</v>
      </c>
      <c r="F233" s="11">
        <v>10</v>
      </c>
      <c r="G233" s="12">
        <v>10</v>
      </c>
      <c r="H233" s="11">
        <v>111.111111111</v>
      </c>
      <c r="I233" s="11">
        <v>52</v>
      </c>
      <c r="J233" s="11">
        <v>80</v>
      </c>
      <c r="K233" s="12">
        <f t="shared" si="3"/>
        <v>9.2307692307692317</v>
      </c>
    </row>
    <row r="234" spans="1:11" x14ac:dyDescent="0.3">
      <c r="A234" s="9">
        <v>235</v>
      </c>
      <c r="B234" t="s">
        <v>288</v>
      </c>
      <c r="C234" s="10">
        <v>29964</v>
      </c>
      <c r="D234" t="s">
        <v>5</v>
      </c>
      <c r="E234" s="11">
        <v>78</v>
      </c>
      <c r="F234" s="11">
        <v>128</v>
      </c>
      <c r="G234" s="12">
        <v>32</v>
      </c>
      <c r="H234" s="11">
        <v>164.10256410299999</v>
      </c>
      <c r="K234" s="12" t="str">
        <f t="shared" si="3"/>
        <v/>
      </c>
    </row>
    <row r="235" spans="1:11" x14ac:dyDescent="0.3">
      <c r="A235" s="9">
        <v>236</v>
      </c>
      <c r="B235" t="s">
        <v>289</v>
      </c>
      <c r="C235" s="10">
        <v>33307</v>
      </c>
      <c r="D235" t="s">
        <v>3</v>
      </c>
      <c r="E235" s="11">
        <v>5</v>
      </c>
      <c r="F235" s="11">
        <v>3</v>
      </c>
      <c r="G235" s="12">
        <v>3</v>
      </c>
      <c r="H235" s="11">
        <v>60</v>
      </c>
      <c r="I235" s="11">
        <v>177</v>
      </c>
      <c r="J235" s="11">
        <v>248</v>
      </c>
      <c r="K235" s="12">
        <f t="shared" si="3"/>
        <v>8.4067796610169498</v>
      </c>
    </row>
    <row r="236" spans="1:11" x14ac:dyDescent="0.3">
      <c r="A236" s="9">
        <v>237</v>
      </c>
      <c r="B236" t="s">
        <v>290</v>
      </c>
      <c r="C236" s="10">
        <v>32089</v>
      </c>
      <c r="D236" t="s">
        <v>3</v>
      </c>
      <c r="E236" s="11">
        <v>17</v>
      </c>
      <c r="F236" s="11">
        <v>12</v>
      </c>
      <c r="G236" s="12">
        <v>12</v>
      </c>
      <c r="H236" s="11">
        <v>70.588235294</v>
      </c>
      <c r="I236" s="11">
        <v>213</v>
      </c>
      <c r="J236" s="11">
        <v>323</v>
      </c>
      <c r="K236" s="12">
        <f t="shared" si="3"/>
        <v>9.0985915492957741</v>
      </c>
    </row>
    <row r="237" spans="1:11" x14ac:dyDescent="0.3">
      <c r="A237" s="9">
        <v>238</v>
      </c>
      <c r="B237" t="s">
        <v>291</v>
      </c>
      <c r="C237" s="10">
        <v>31458</v>
      </c>
      <c r="D237" t="s">
        <v>3</v>
      </c>
      <c r="E237" s="11">
        <v>50</v>
      </c>
      <c r="F237" s="11">
        <v>51</v>
      </c>
      <c r="G237" s="12">
        <v>10.199999999999999</v>
      </c>
      <c r="H237" s="11">
        <v>102</v>
      </c>
      <c r="K237" s="12" t="str">
        <f t="shared" si="3"/>
        <v/>
      </c>
    </row>
    <row r="238" spans="1:11" x14ac:dyDescent="0.3">
      <c r="A238" s="9">
        <v>239</v>
      </c>
      <c r="B238" t="s">
        <v>292</v>
      </c>
      <c r="C238" s="10">
        <v>34437</v>
      </c>
      <c r="D238" t="s">
        <v>3</v>
      </c>
      <c r="E238" s="11">
        <v>21</v>
      </c>
      <c r="F238" s="11">
        <v>24</v>
      </c>
      <c r="G238" s="12">
        <v>8</v>
      </c>
      <c r="H238" s="11">
        <v>114.285714286</v>
      </c>
      <c r="I238" s="11">
        <v>224</v>
      </c>
      <c r="J238" s="11">
        <v>350</v>
      </c>
      <c r="K238" s="12">
        <f t="shared" si="3"/>
        <v>9.375</v>
      </c>
    </row>
    <row r="239" spans="1:11" x14ac:dyDescent="0.3">
      <c r="A239" s="9">
        <v>240</v>
      </c>
      <c r="B239" t="s">
        <v>293</v>
      </c>
      <c r="C239" s="10">
        <v>28425</v>
      </c>
      <c r="D239" t="s">
        <v>91</v>
      </c>
      <c r="E239" s="11">
        <v>1387</v>
      </c>
      <c r="F239" s="11">
        <v>1687</v>
      </c>
      <c r="G239" s="12">
        <v>24.449275362000002</v>
      </c>
      <c r="H239" s="11">
        <v>121.629416006</v>
      </c>
      <c r="K239" s="12" t="str">
        <f t="shared" si="3"/>
        <v/>
      </c>
    </row>
    <row r="240" spans="1:11" x14ac:dyDescent="0.3">
      <c r="A240" s="9">
        <v>241</v>
      </c>
      <c r="B240" t="s">
        <v>294</v>
      </c>
      <c r="C240" s="10">
        <v>31199</v>
      </c>
      <c r="D240" t="s">
        <v>3</v>
      </c>
      <c r="E240" s="11">
        <v>2813</v>
      </c>
      <c r="F240" s="11">
        <v>3669</v>
      </c>
      <c r="G240" s="12">
        <v>26.586956522000001</v>
      </c>
      <c r="H240" s="11">
        <v>130.43014575199999</v>
      </c>
      <c r="K240" s="12" t="str">
        <f t="shared" si="3"/>
        <v/>
      </c>
    </row>
    <row r="241" spans="1:11" x14ac:dyDescent="0.3">
      <c r="A241" s="9">
        <v>243</v>
      </c>
      <c r="B241" t="s">
        <v>295</v>
      </c>
      <c r="C241" s="10">
        <v>33321</v>
      </c>
      <c r="D241" t="s">
        <v>3</v>
      </c>
      <c r="E241" s="11">
        <v>609</v>
      </c>
      <c r="F241" s="11">
        <v>897</v>
      </c>
      <c r="G241" s="12">
        <v>28.03125</v>
      </c>
      <c r="H241" s="11">
        <v>147.29064039400001</v>
      </c>
      <c r="I241" s="11">
        <v>968</v>
      </c>
      <c r="J241" s="11">
        <v>1159</v>
      </c>
      <c r="K241" s="12">
        <f t="shared" si="3"/>
        <v>7.1838842975206605</v>
      </c>
    </row>
    <row r="242" spans="1:11" x14ac:dyDescent="0.3">
      <c r="A242" s="9">
        <v>244</v>
      </c>
      <c r="B242" t="s">
        <v>296</v>
      </c>
      <c r="C242" s="10">
        <v>31946</v>
      </c>
      <c r="D242" t="s">
        <v>7</v>
      </c>
      <c r="E242" s="11">
        <v>8</v>
      </c>
      <c r="F242" s="11">
        <v>13</v>
      </c>
      <c r="G242" s="12">
        <v>13</v>
      </c>
      <c r="H242" s="11">
        <v>162.5</v>
      </c>
      <c r="I242" s="11">
        <v>102</v>
      </c>
      <c r="J242" s="11">
        <v>182</v>
      </c>
      <c r="K242" s="12">
        <f t="shared" si="3"/>
        <v>10.705882352941176</v>
      </c>
    </row>
    <row r="243" spans="1:11" x14ac:dyDescent="0.3">
      <c r="A243" s="9">
        <v>245</v>
      </c>
      <c r="B243" t="s">
        <v>297</v>
      </c>
      <c r="C243" s="10">
        <v>32555</v>
      </c>
      <c r="D243" t="s">
        <v>94</v>
      </c>
      <c r="E243" s="11">
        <v>68</v>
      </c>
      <c r="F243" s="11">
        <v>116</v>
      </c>
      <c r="G243" s="12">
        <v>12.888888889</v>
      </c>
      <c r="H243" s="11">
        <v>170.58823529399999</v>
      </c>
      <c r="I243" s="11">
        <v>600</v>
      </c>
      <c r="J243" s="11">
        <v>789</v>
      </c>
      <c r="K243" s="12">
        <f t="shared" si="3"/>
        <v>7.89</v>
      </c>
    </row>
    <row r="244" spans="1:11" x14ac:dyDescent="0.3">
      <c r="A244" s="9">
        <v>246</v>
      </c>
      <c r="B244" t="s">
        <v>298</v>
      </c>
      <c r="C244" s="10">
        <v>33578</v>
      </c>
      <c r="D244" t="s">
        <v>3</v>
      </c>
      <c r="E244" s="11">
        <v>1137</v>
      </c>
      <c r="F244" s="11">
        <v>1465</v>
      </c>
      <c r="G244" s="12">
        <v>24.016393442999998</v>
      </c>
      <c r="H244" s="11">
        <v>128.84784520700001</v>
      </c>
      <c r="K244" s="12" t="str">
        <f t="shared" si="3"/>
        <v/>
      </c>
    </row>
    <row r="245" spans="1:11" x14ac:dyDescent="0.3">
      <c r="A245" s="9">
        <v>247</v>
      </c>
      <c r="B245" t="s">
        <v>299</v>
      </c>
      <c r="C245" s="10">
        <v>33712</v>
      </c>
      <c r="D245" t="s">
        <v>3</v>
      </c>
      <c r="E245" s="11">
        <v>1428</v>
      </c>
      <c r="F245" s="11">
        <v>1988</v>
      </c>
      <c r="G245" s="12">
        <v>40.571428570999998</v>
      </c>
      <c r="H245" s="11">
        <v>139.215686275</v>
      </c>
      <c r="K245" s="12" t="str">
        <f t="shared" si="3"/>
        <v/>
      </c>
    </row>
    <row r="246" spans="1:11" x14ac:dyDescent="0.3">
      <c r="A246" s="9">
        <v>248</v>
      </c>
      <c r="B246" t="s">
        <v>300</v>
      </c>
      <c r="H246" s="11"/>
      <c r="I246" s="11">
        <v>38</v>
      </c>
      <c r="J246" s="11">
        <v>77</v>
      </c>
      <c r="K246" s="12">
        <f t="shared" si="3"/>
        <v>12.157894736842106</v>
      </c>
    </row>
    <row r="247" spans="1:11" x14ac:dyDescent="0.3">
      <c r="A247" s="9">
        <v>249</v>
      </c>
      <c r="B247" t="s">
        <v>301</v>
      </c>
      <c r="C247" s="10">
        <v>31132</v>
      </c>
      <c r="D247" t="s">
        <v>3</v>
      </c>
      <c r="E247" s="11">
        <v>851</v>
      </c>
      <c r="F247" s="11">
        <v>1087</v>
      </c>
      <c r="G247" s="12">
        <v>23.630434782999998</v>
      </c>
      <c r="H247" s="11">
        <v>127.732079906</v>
      </c>
      <c r="K247" s="12" t="str">
        <f t="shared" si="3"/>
        <v/>
      </c>
    </row>
    <row r="248" spans="1:11" x14ac:dyDescent="0.3">
      <c r="A248" s="9">
        <v>250</v>
      </c>
      <c r="B248" t="s">
        <v>302</v>
      </c>
      <c r="C248" s="10">
        <v>30154</v>
      </c>
      <c r="D248" t="s">
        <v>91</v>
      </c>
      <c r="E248" s="11">
        <v>2</v>
      </c>
      <c r="F248" s="11">
        <v>5</v>
      </c>
      <c r="H248" s="11">
        <v>250</v>
      </c>
      <c r="I248" s="11">
        <v>107</v>
      </c>
      <c r="J248" s="11">
        <v>122</v>
      </c>
      <c r="K248" s="12">
        <f t="shared" si="3"/>
        <v>6.8411214953271031</v>
      </c>
    </row>
    <row r="249" spans="1:11" x14ac:dyDescent="0.3">
      <c r="A249" s="9">
        <v>251</v>
      </c>
      <c r="B249" t="s">
        <v>303</v>
      </c>
      <c r="C249" s="10">
        <v>32497</v>
      </c>
      <c r="D249" t="s">
        <v>3</v>
      </c>
      <c r="E249" s="11">
        <v>3</v>
      </c>
      <c r="F249" s="11">
        <v>2</v>
      </c>
      <c r="G249" s="12">
        <v>2</v>
      </c>
      <c r="H249" s="11">
        <v>66.666666667000001</v>
      </c>
      <c r="I249" s="11">
        <v>222</v>
      </c>
      <c r="J249" s="11">
        <v>291</v>
      </c>
      <c r="K249" s="12">
        <f t="shared" si="3"/>
        <v>7.8648648648648649</v>
      </c>
    </row>
    <row r="250" spans="1:11" x14ac:dyDescent="0.3">
      <c r="A250" s="9">
        <v>252</v>
      </c>
      <c r="B250" t="s">
        <v>304</v>
      </c>
      <c r="C250" s="10">
        <v>29399</v>
      </c>
      <c r="D250" t="s">
        <v>7</v>
      </c>
      <c r="E250" s="11">
        <v>740</v>
      </c>
      <c r="F250" s="11">
        <v>1001</v>
      </c>
      <c r="G250" s="12">
        <v>35.75</v>
      </c>
      <c r="H250" s="11">
        <v>135.27027027</v>
      </c>
      <c r="I250" s="11">
        <v>180</v>
      </c>
      <c r="J250" s="11">
        <v>218</v>
      </c>
      <c r="K250" s="12">
        <f t="shared" si="3"/>
        <v>7.2666666666666666</v>
      </c>
    </row>
    <row r="251" spans="1:11" x14ac:dyDescent="0.3">
      <c r="A251" s="9">
        <v>253</v>
      </c>
      <c r="B251" t="s">
        <v>305</v>
      </c>
      <c r="C251" s="10">
        <v>33093</v>
      </c>
      <c r="D251" t="s">
        <v>15</v>
      </c>
      <c r="E251" s="11">
        <v>964</v>
      </c>
      <c r="F251" s="11">
        <v>1309</v>
      </c>
      <c r="G251" s="12">
        <v>38.5</v>
      </c>
      <c r="H251" s="11">
        <v>135.788381743</v>
      </c>
      <c r="I251" s="11">
        <v>6</v>
      </c>
      <c r="J251" s="11">
        <v>7</v>
      </c>
      <c r="K251" s="12">
        <f t="shared" si="3"/>
        <v>7</v>
      </c>
    </row>
    <row r="252" spans="1:11" x14ac:dyDescent="0.3">
      <c r="A252" s="9">
        <v>254</v>
      </c>
      <c r="B252" t="s">
        <v>306</v>
      </c>
      <c r="C252" s="10">
        <v>34682</v>
      </c>
      <c r="D252" t="s">
        <v>3</v>
      </c>
      <c r="E252" s="11">
        <v>54</v>
      </c>
      <c r="F252" s="11">
        <v>45</v>
      </c>
      <c r="G252" s="12">
        <v>11.25</v>
      </c>
      <c r="H252" s="11">
        <v>83.333333332999999</v>
      </c>
      <c r="I252" s="11">
        <v>838</v>
      </c>
      <c r="J252" s="11">
        <v>1173</v>
      </c>
      <c r="K252" s="12">
        <f t="shared" si="3"/>
        <v>8.39856801909308</v>
      </c>
    </row>
    <row r="253" spans="1:11" x14ac:dyDescent="0.3">
      <c r="A253" s="9">
        <v>255</v>
      </c>
      <c r="B253" t="s">
        <v>307</v>
      </c>
      <c r="C253" s="10">
        <v>32073</v>
      </c>
      <c r="D253" t="s">
        <v>3</v>
      </c>
      <c r="E253" s="11">
        <v>270</v>
      </c>
      <c r="F253" s="11">
        <v>317</v>
      </c>
      <c r="G253" s="12">
        <v>15.095238094999999</v>
      </c>
      <c r="H253" s="11">
        <v>117.40740740699999</v>
      </c>
      <c r="I253" s="11">
        <v>1121</v>
      </c>
      <c r="J253" s="11">
        <v>1482</v>
      </c>
      <c r="K253" s="12">
        <f t="shared" si="3"/>
        <v>7.9322033898305078</v>
      </c>
    </row>
    <row r="254" spans="1:11" x14ac:dyDescent="0.3">
      <c r="A254" s="9">
        <v>256</v>
      </c>
      <c r="B254" t="s">
        <v>308</v>
      </c>
      <c r="C254" s="10">
        <v>33281</v>
      </c>
      <c r="D254" t="s">
        <v>4</v>
      </c>
      <c r="E254" s="11">
        <v>39</v>
      </c>
      <c r="F254" s="11">
        <v>36</v>
      </c>
      <c r="G254" s="12">
        <v>12</v>
      </c>
      <c r="H254" s="11">
        <v>92.307692308</v>
      </c>
      <c r="I254" s="11">
        <v>326</v>
      </c>
      <c r="J254" s="11">
        <v>450</v>
      </c>
      <c r="K254" s="12">
        <f t="shared" si="3"/>
        <v>8.2822085889570545</v>
      </c>
    </row>
    <row r="255" spans="1:11" x14ac:dyDescent="0.3">
      <c r="A255" s="9">
        <v>257</v>
      </c>
      <c r="B255" t="s">
        <v>309</v>
      </c>
      <c r="C255" s="10">
        <v>30288</v>
      </c>
      <c r="D255" t="s">
        <v>3</v>
      </c>
      <c r="E255" s="11">
        <v>2</v>
      </c>
      <c r="F255" s="11">
        <v>0</v>
      </c>
      <c r="H255" s="11">
        <v>0</v>
      </c>
      <c r="I255" s="11">
        <v>45</v>
      </c>
      <c r="J255" s="11">
        <v>76</v>
      </c>
      <c r="K255" s="12">
        <f t="shared" si="3"/>
        <v>10.133333333333333</v>
      </c>
    </row>
    <row r="256" spans="1:11" x14ac:dyDescent="0.3">
      <c r="A256" s="9">
        <v>258</v>
      </c>
      <c r="B256" t="s">
        <v>310</v>
      </c>
      <c r="C256" s="10">
        <v>29856</v>
      </c>
      <c r="D256" t="s">
        <v>3</v>
      </c>
      <c r="E256" s="11">
        <v>47</v>
      </c>
      <c r="F256" s="11">
        <v>36</v>
      </c>
      <c r="G256" s="12">
        <v>5.1428571429999996</v>
      </c>
      <c r="H256" s="11">
        <v>76.595744680999999</v>
      </c>
      <c r="I256" s="11">
        <v>1574</v>
      </c>
      <c r="J256" s="11">
        <v>2083</v>
      </c>
      <c r="K256" s="12">
        <f t="shared" si="3"/>
        <v>7.9402795425667092</v>
      </c>
    </row>
    <row r="257" spans="1:11" x14ac:dyDescent="0.3">
      <c r="A257" s="9">
        <v>259</v>
      </c>
      <c r="B257" t="s">
        <v>311</v>
      </c>
      <c r="H257" s="11"/>
      <c r="I257" s="11">
        <v>107</v>
      </c>
      <c r="J257" s="11">
        <v>192</v>
      </c>
      <c r="K257" s="12">
        <f t="shared" si="3"/>
        <v>10.766355140186917</v>
      </c>
    </row>
    <row r="258" spans="1:11" x14ac:dyDescent="0.3">
      <c r="A258" s="9">
        <v>260</v>
      </c>
      <c r="B258" t="s">
        <v>312</v>
      </c>
      <c r="E258" s="11">
        <v>47</v>
      </c>
      <c r="F258" s="11">
        <v>71</v>
      </c>
      <c r="G258" s="12">
        <v>23.666666667000001</v>
      </c>
      <c r="H258" s="11">
        <v>151.063829787</v>
      </c>
      <c r="I258" s="11">
        <v>6</v>
      </c>
      <c r="J258" s="11">
        <v>13</v>
      </c>
      <c r="K258" s="12">
        <f t="shared" ref="K258:K321" si="4">IF(J258&lt;&gt;0,J258/(I258/6),"")</f>
        <v>13</v>
      </c>
    </row>
    <row r="259" spans="1:11" x14ac:dyDescent="0.3">
      <c r="A259" s="9">
        <v>261</v>
      </c>
      <c r="B259" t="s">
        <v>313</v>
      </c>
      <c r="H259" s="11"/>
      <c r="I259" s="11">
        <v>163</v>
      </c>
      <c r="J259" s="11">
        <v>175</v>
      </c>
      <c r="K259" s="12">
        <f t="shared" si="4"/>
        <v>6.4417177914110431</v>
      </c>
    </row>
    <row r="260" spans="1:11" x14ac:dyDescent="0.3">
      <c r="A260" s="9">
        <v>262</v>
      </c>
      <c r="B260" t="s">
        <v>314</v>
      </c>
      <c r="E260" s="11">
        <v>3</v>
      </c>
      <c r="F260" s="11">
        <v>1</v>
      </c>
      <c r="G260" s="12">
        <v>1</v>
      </c>
      <c r="H260" s="11">
        <v>33.333333332999999</v>
      </c>
      <c r="I260" s="11">
        <v>154</v>
      </c>
      <c r="J260" s="11">
        <v>235</v>
      </c>
      <c r="K260" s="12">
        <f t="shared" si="4"/>
        <v>9.1558441558441555</v>
      </c>
    </row>
    <row r="261" spans="1:11" x14ac:dyDescent="0.3">
      <c r="A261" s="9">
        <v>263</v>
      </c>
      <c r="B261" t="s">
        <v>315</v>
      </c>
      <c r="C261" s="10">
        <v>29699</v>
      </c>
      <c r="D261" t="s">
        <v>4</v>
      </c>
      <c r="E261" s="11">
        <v>34</v>
      </c>
      <c r="F261" s="11">
        <v>34</v>
      </c>
      <c r="G261" s="12">
        <v>11.333333333000001</v>
      </c>
      <c r="H261" s="11">
        <v>100</v>
      </c>
      <c r="K261" s="12" t="str">
        <f t="shared" si="4"/>
        <v/>
      </c>
    </row>
    <row r="262" spans="1:11" x14ac:dyDescent="0.3">
      <c r="A262" s="9">
        <v>264</v>
      </c>
      <c r="B262" t="s">
        <v>316</v>
      </c>
      <c r="C262" s="10">
        <v>27715</v>
      </c>
      <c r="D262" t="s">
        <v>4</v>
      </c>
      <c r="E262" s="11">
        <v>68</v>
      </c>
      <c r="F262" s="11">
        <v>81</v>
      </c>
      <c r="G262" s="12">
        <v>27</v>
      </c>
      <c r="H262" s="11">
        <v>119.11764705900001</v>
      </c>
      <c r="I262" s="11">
        <v>7</v>
      </c>
      <c r="J262" s="11">
        <v>6</v>
      </c>
      <c r="K262" s="12">
        <f t="shared" si="4"/>
        <v>5.1428571428571423</v>
      </c>
    </row>
    <row r="263" spans="1:11" x14ac:dyDescent="0.3">
      <c r="A263" s="9">
        <v>265</v>
      </c>
      <c r="B263" t="s">
        <v>317</v>
      </c>
      <c r="C263" s="10">
        <v>30953</v>
      </c>
      <c r="D263" t="s">
        <v>4</v>
      </c>
      <c r="E263" s="11">
        <v>244</v>
      </c>
      <c r="F263" s="11">
        <v>302</v>
      </c>
      <c r="G263" s="12">
        <v>27.454545455000002</v>
      </c>
      <c r="H263" s="11">
        <v>123.770491803</v>
      </c>
      <c r="K263" s="12" t="str">
        <f t="shared" si="4"/>
        <v/>
      </c>
    </row>
    <row r="264" spans="1:11" x14ac:dyDescent="0.3">
      <c r="A264" s="9">
        <v>266</v>
      </c>
      <c r="B264" t="s">
        <v>318</v>
      </c>
      <c r="E264" s="11">
        <v>1</v>
      </c>
      <c r="F264" s="11">
        <v>1</v>
      </c>
      <c r="H264" s="11">
        <v>100</v>
      </c>
      <c r="I264" s="11">
        <v>87</v>
      </c>
      <c r="J264" s="11">
        <v>96</v>
      </c>
      <c r="K264" s="12">
        <f t="shared" si="4"/>
        <v>6.6206896551724137</v>
      </c>
    </row>
    <row r="265" spans="1:11" x14ac:dyDescent="0.3">
      <c r="A265" s="9">
        <v>267</v>
      </c>
      <c r="B265" t="s">
        <v>319</v>
      </c>
      <c r="C265" s="10">
        <v>31113</v>
      </c>
      <c r="D265" t="s">
        <v>6</v>
      </c>
      <c r="E265" s="11">
        <v>60</v>
      </c>
      <c r="F265" s="11">
        <v>106</v>
      </c>
      <c r="G265" s="12">
        <v>26.5</v>
      </c>
      <c r="H265" s="11">
        <v>176.66666666699999</v>
      </c>
      <c r="I265" s="11">
        <v>75</v>
      </c>
      <c r="J265" s="11">
        <v>125</v>
      </c>
      <c r="K265" s="12">
        <f t="shared" si="4"/>
        <v>10</v>
      </c>
    </row>
    <row r="266" spans="1:11" x14ac:dyDescent="0.3">
      <c r="A266" s="9">
        <v>268</v>
      </c>
      <c r="B266" t="s">
        <v>320</v>
      </c>
      <c r="C266" s="10">
        <v>31072</v>
      </c>
      <c r="D266" t="s">
        <v>94</v>
      </c>
      <c r="E266" s="11">
        <v>851</v>
      </c>
      <c r="F266" s="11">
        <v>1079</v>
      </c>
      <c r="G266" s="12">
        <v>39.962962963000003</v>
      </c>
      <c r="H266" s="11">
        <v>126.792009401</v>
      </c>
      <c r="I266" s="11">
        <v>18</v>
      </c>
      <c r="J266" s="11">
        <v>34</v>
      </c>
      <c r="K266" s="12">
        <f t="shared" si="4"/>
        <v>11.333333333333334</v>
      </c>
    </row>
    <row r="267" spans="1:11" x14ac:dyDescent="0.3">
      <c r="A267" s="9">
        <v>269</v>
      </c>
      <c r="B267" t="s">
        <v>321</v>
      </c>
      <c r="C267" s="10">
        <v>29203</v>
      </c>
      <c r="D267" t="s">
        <v>91</v>
      </c>
      <c r="E267" s="11">
        <v>25</v>
      </c>
      <c r="F267" s="11">
        <v>40</v>
      </c>
      <c r="G267" s="12">
        <v>20</v>
      </c>
      <c r="H267" s="11">
        <v>160</v>
      </c>
      <c r="I267" s="11">
        <v>6</v>
      </c>
      <c r="J267" s="11">
        <v>21</v>
      </c>
      <c r="K267" s="12">
        <f t="shared" si="4"/>
        <v>21</v>
      </c>
    </row>
    <row r="268" spans="1:11" x14ac:dyDescent="0.3">
      <c r="A268" s="9">
        <v>270</v>
      </c>
      <c r="B268" t="s">
        <v>322</v>
      </c>
      <c r="C268" s="10">
        <v>29712</v>
      </c>
      <c r="D268" t="s">
        <v>3</v>
      </c>
      <c r="E268" s="11">
        <v>346</v>
      </c>
      <c r="F268" s="11">
        <v>405</v>
      </c>
      <c r="G268" s="12">
        <v>13.965517241000001</v>
      </c>
      <c r="H268" s="11">
        <v>117.052023121</v>
      </c>
      <c r="I268" s="11">
        <v>326</v>
      </c>
      <c r="J268" s="11">
        <v>458</v>
      </c>
      <c r="K268" s="12">
        <f t="shared" si="4"/>
        <v>8.4294478527607364</v>
      </c>
    </row>
    <row r="269" spans="1:11" x14ac:dyDescent="0.3">
      <c r="A269" s="9">
        <v>271</v>
      </c>
      <c r="B269" t="s">
        <v>323</v>
      </c>
      <c r="C269" s="10">
        <v>30749</v>
      </c>
      <c r="D269" t="s">
        <v>15</v>
      </c>
      <c r="E269" s="11">
        <v>818</v>
      </c>
      <c r="F269" s="11">
        <v>1017</v>
      </c>
      <c r="G269" s="12">
        <v>24.804878048999999</v>
      </c>
      <c r="H269" s="11">
        <v>124.327628362</v>
      </c>
      <c r="I269" s="11">
        <v>13</v>
      </c>
      <c r="J269" s="11">
        <v>24</v>
      </c>
      <c r="K269" s="12">
        <f t="shared" si="4"/>
        <v>11.076923076923078</v>
      </c>
    </row>
    <row r="270" spans="1:11" x14ac:dyDescent="0.3">
      <c r="A270" s="9">
        <v>272</v>
      </c>
      <c r="B270" t="s">
        <v>324</v>
      </c>
      <c r="E270" s="11">
        <v>177</v>
      </c>
      <c r="F270" s="11">
        <v>302</v>
      </c>
      <c r="G270" s="12">
        <v>30.2</v>
      </c>
      <c r="H270" s="11">
        <v>170.621468927</v>
      </c>
      <c r="I270" s="11">
        <v>233</v>
      </c>
      <c r="J270" s="11">
        <v>272</v>
      </c>
      <c r="K270" s="12">
        <f t="shared" si="4"/>
        <v>7.0042918454935617</v>
      </c>
    </row>
    <row r="271" spans="1:11" x14ac:dyDescent="0.3">
      <c r="A271" s="9">
        <v>273</v>
      </c>
      <c r="B271" t="s">
        <v>325</v>
      </c>
      <c r="C271" s="10">
        <v>33124</v>
      </c>
      <c r="D271" t="s">
        <v>3</v>
      </c>
      <c r="E271" s="11">
        <v>8</v>
      </c>
      <c r="F271" s="11">
        <v>4</v>
      </c>
      <c r="G271" s="12">
        <v>1.3333333329999999</v>
      </c>
      <c r="H271" s="11">
        <v>50</v>
      </c>
      <c r="I271" s="11">
        <v>432</v>
      </c>
      <c r="J271" s="11">
        <v>570</v>
      </c>
      <c r="K271" s="12">
        <f t="shared" si="4"/>
        <v>7.916666666666667</v>
      </c>
    </row>
    <row r="272" spans="1:11" x14ac:dyDescent="0.3">
      <c r="A272" s="9">
        <v>274</v>
      </c>
      <c r="B272" t="s">
        <v>326</v>
      </c>
      <c r="C272" s="10">
        <v>33159</v>
      </c>
      <c r="D272" t="s">
        <v>7</v>
      </c>
      <c r="E272" s="11">
        <v>2</v>
      </c>
      <c r="F272" s="11">
        <v>1</v>
      </c>
      <c r="G272" s="12">
        <v>1</v>
      </c>
      <c r="H272" s="11">
        <v>50</v>
      </c>
      <c r="I272" s="11">
        <v>116</v>
      </c>
      <c r="J272" s="11">
        <v>171</v>
      </c>
      <c r="K272" s="12">
        <f t="shared" si="4"/>
        <v>8.8448275862068968</v>
      </c>
    </row>
    <row r="273" spans="1:11" x14ac:dyDescent="0.3">
      <c r="A273" s="9">
        <v>275</v>
      </c>
      <c r="B273" t="s">
        <v>327</v>
      </c>
      <c r="C273" s="10">
        <v>29556</v>
      </c>
      <c r="D273" t="s">
        <v>3</v>
      </c>
      <c r="E273" s="11">
        <v>249</v>
      </c>
      <c r="F273" s="11">
        <v>259</v>
      </c>
      <c r="G273" s="12">
        <v>16.1875</v>
      </c>
      <c r="H273" s="11">
        <v>104.016064257</v>
      </c>
      <c r="K273" s="12" t="str">
        <f t="shared" si="4"/>
        <v/>
      </c>
    </row>
    <row r="274" spans="1:11" x14ac:dyDescent="0.3">
      <c r="A274" s="9">
        <v>276</v>
      </c>
      <c r="B274" t="s">
        <v>328</v>
      </c>
      <c r="C274" s="10">
        <v>28014</v>
      </c>
      <c r="D274" t="s">
        <v>3</v>
      </c>
      <c r="E274" s="11">
        <v>108</v>
      </c>
      <c r="F274" s="11">
        <v>113</v>
      </c>
      <c r="G274" s="12">
        <v>16.142857143000001</v>
      </c>
      <c r="H274" s="11">
        <v>104.62962963</v>
      </c>
      <c r="I274" s="11">
        <v>1182</v>
      </c>
      <c r="J274" s="11">
        <v>1418</v>
      </c>
      <c r="K274" s="12">
        <f t="shared" si="4"/>
        <v>7.1979695431472077</v>
      </c>
    </row>
    <row r="275" spans="1:11" x14ac:dyDescent="0.3">
      <c r="A275" s="9">
        <v>277</v>
      </c>
      <c r="B275" t="s">
        <v>329</v>
      </c>
      <c r="C275" s="10">
        <v>29406</v>
      </c>
      <c r="D275" t="s">
        <v>4</v>
      </c>
      <c r="E275" s="11">
        <v>77</v>
      </c>
      <c r="F275" s="11">
        <v>73</v>
      </c>
      <c r="G275" s="12">
        <v>18.25</v>
      </c>
      <c r="H275" s="11">
        <v>94.805194804999999</v>
      </c>
      <c r="K275" s="12" t="str">
        <f t="shared" si="4"/>
        <v/>
      </c>
    </row>
    <row r="276" spans="1:11" x14ac:dyDescent="0.3">
      <c r="A276" s="9">
        <v>278</v>
      </c>
      <c r="B276" t="s">
        <v>330</v>
      </c>
      <c r="E276" s="11">
        <v>24</v>
      </c>
      <c r="F276" s="11">
        <v>28</v>
      </c>
      <c r="G276" s="12">
        <v>14</v>
      </c>
      <c r="H276" s="11">
        <v>116.666666667</v>
      </c>
      <c r="I276" s="11">
        <v>18</v>
      </c>
      <c r="J276" s="11">
        <v>27</v>
      </c>
      <c r="K276" s="12">
        <f t="shared" si="4"/>
        <v>9</v>
      </c>
    </row>
    <row r="277" spans="1:11" x14ac:dyDescent="0.3">
      <c r="A277" s="9">
        <v>279</v>
      </c>
      <c r="B277" t="s">
        <v>331</v>
      </c>
      <c r="C277" s="10">
        <v>29140</v>
      </c>
      <c r="D277" t="s">
        <v>3</v>
      </c>
      <c r="E277" s="11">
        <v>469</v>
      </c>
      <c r="F277" s="11">
        <v>514</v>
      </c>
      <c r="G277" s="12">
        <v>21.416666667000001</v>
      </c>
      <c r="H277" s="11">
        <v>109.59488272900001</v>
      </c>
      <c r="I277" s="11">
        <v>42</v>
      </c>
      <c r="J277" s="11">
        <v>42</v>
      </c>
      <c r="K277" s="12">
        <f t="shared" si="4"/>
        <v>6</v>
      </c>
    </row>
    <row r="278" spans="1:11" x14ac:dyDescent="0.3">
      <c r="A278" s="9">
        <v>280</v>
      </c>
      <c r="B278" t="s">
        <v>332</v>
      </c>
      <c r="E278" s="11">
        <v>29</v>
      </c>
      <c r="F278" s="11">
        <v>30</v>
      </c>
      <c r="G278" s="12">
        <v>10</v>
      </c>
      <c r="H278" s="11">
        <v>103.448275862</v>
      </c>
      <c r="I278" s="11">
        <v>305</v>
      </c>
      <c r="J278" s="11">
        <v>448</v>
      </c>
      <c r="K278" s="12">
        <f t="shared" si="4"/>
        <v>8.8131147540983594</v>
      </c>
    </row>
    <row r="279" spans="1:11" x14ac:dyDescent="0.3">
      <c r="A279" s="9">
        <v>281</v>
      </c>
      <c r="B279" t="s">
        <v>333</v>
      </c>
      <c r="C279" s="10">
        <v>30961</v>
      </c>
      <c r="D279" t="s">
        <v>7</v>
      </c>
      <c r="E279" s="11">
        <v>90</v>
      </c>
      <c r="F279" s="11">
        <v>126</v>
      </c>
      <c r="G279" s="12">
        <v>11.454545455</v>
      </c>
      <c r="H279" s="11">
        <v>140</v>
      </c>
      <c r="I279" s="11">
        <v>1699</v>
      </c>
      <c r="J279" s="11">
        <v>2136</v>
      </c>
      <c r="K279" s="12">
        <f t="shared" si="4"/>
        <v>7.5432607416127126</v>
      </c>
    </row>
    <row r="280" spans="1:11" x14ac:dyDescent="0.3">
      <c r="A280" s="9">
        <v>282</v>
      </c>
      <c r="B280" t="s">
        <v>334</v>
      </c>
      <c r="C280" s="10">
        <v>26406</v>
      </c>
      <c r="D280" t="s">
        <v>91</v>
      </c>
      <c r="E280" s="11">
        <v>29</v>
      </c>
      <c r="F280" s="11">
        <v>20</v>
      </c>
      <c r="G280" s="12">
        <v>3.3333333330000001</v>
      </c>
      <c r="H280" s="11">
        <v>68.965517241000001</v>
      </c>
      <c r="I280" s="11">
        <v>1581</v>
      </c>
      <c r="J280" s="11">
        <v>1765</v>
      </c>
      <c r="K280" s="12">
        <f t="shared" si="4"/>
        <v>6.6982922201138519</v>
      </c>
    </row>
    <row r="281" spans="1:11" x14ac:dyDescent="0.3">
      <c r="A281" s="9">
        <v>283</v>
      </c>
      <c r="B281" t="s">
        <v>335</v>
      </c>
      <c r="C281" s="10">
        <v>28312</v>
      </c>
      <c r="D281" t="s">
        <v>7</v>
      </c>
      <c r="E281" s="11">
        <v>18</v>
      </c>
      <c r="F281" s="11">
        <v>11</v>
      </c>
      <c r="G281" s="12">
        <v>11</v>
      </c>
      <c r="H281" s="11">
        <v>61.111111111</v>
      </c>
      <c r="I281" s="11">
        <v>213</v>
      </c>
      <c r="J281" s="11">
        <v>257</v>
      </c>
      <c r="K281" s="12">
        <f t="shared" si="4"/>
        <v>7.23943661971831</v>
      </c>
    </row>
    <row r="282" spans="1:11" x14ac:dyDescent="0.3">
      <c r="A282" s="9">
        <v>284</v>
      </c>
      <c r="B282" t="s">
        <v>336</v>
      </c>
      <c r="C282" s="10">
        <v>31345</v>
      </c>
      <c r="D282" t="s">
        <v>3</v>
      </c>
      <c r="E282" s="11">
        <v>69</v>
      </c>
      <c r="F282" s="11">
        <v>55</v>
      </c>
      <c r="G282" s="12">
        <v>11</v>
      </c>
      <c r="H282" s="11">
        <v>79.710144928000005</v>
      </c>
      <c r="K282" s="12" t="str">
        <f t="shared" si="4"/>
        <v/>
      </c>
    </row>
    <row r="283" spans="1:11" x14ac:dyDescent="0.3">
      <c r="A283" s="9">
        <v>285</v>
      </c>
      <c r="B283" t="s">
        <v>337</v>
      </c>
      <c r="E283" s="11">
        <v>23</v>
      </c>
      <c r="F283" s="11">
        <v>33</v>
      </c>
      <c r="G283" s="12">
        <v>33</v>
      </c>
      <c r="H283" s="11">
        <v>143.47826087000001</v>
      </c>
      <c r="I283" s="11">
        <v>88</v>
      </c>
      <c r="J283" s="11">
        <v>105</v>
      </c>
      <c r="K283" s="12">
        <f t="shared" si="4"/>
        <v>7.1590909090909092</v>
      </c>
    </row>
    <row r="284" spans="1:11" x14ac:dyDescent="0.3">
      <c r="A284" s="9">
        <v>286</v>
      </c>
      <c r="B284" t="s">
        <v>338</v>
      </c>
      <c r="E284" s="11">
        <v>11</v>
      </c>
      <c r="F284" s="11">
        <v>12</v>
      </c>
      <c r="G284" s="12">
        <v>6</v>
      </c>
      <c r="H284" s="11">
        <v>109.090909091</v>
      </c>
      <c r="I284" s="11">
        <v>377</v>
      </c>
      <c r="J284" s="11">
        <v>513</v>
      </c>
      <c r="K284" s="12">
        <f t="shared" si="4"/>
        <v>8.1644562334217508</v>
      </c>
    </row>
    <row r="285" spans="1:11" x14ac:dyDescent="0.3">
      <c r="A285" s="9">
        <v>287</v>
      </c>
      <c r="B285" t="s">
        <v>339</v>
      </c>
      <c r="C285" s="10">
        <v>30773</v>
      </c>
      <c r="D285" t="s">
        <v>3</v>
      </c>
      <c r="E285" s="11">
        <v>2104</v>
      </c>
      <c r="F285" s="11">
        <v>2589</v>
      </c>
      <c r="G285" s="12">
        <v>27.838709677000001</v>
      </c>
      <c r="H285" s="11">
        <v>123.051330798</v>
      </c>
      <c r="I285" s="11">
        <v>37</v>
      </c>
      <c r="J285" s="11">
        <v>49</v>
      </c>
      <c r="K285" s="12">
        <f t="shared" si="4"/>
        <v>7.9459459459459456</v>
      </c>
    </row>
    <row r="286" spans="1:11" x14ac:dyDescent="0.3">
      <c r="A286" s="9">
        <v>288</v>
      </c>
      <c r="B286" t="s">
        <v>340</v>
      </c>
      <c r="C286" s="10">
        <v>34168</v>
      </c>
      <c r="D286" t="s">
        <v>3</v>
      </c>
      <c r="E286" s="11">
        <v>767</v>
      </c>
      <c r="F286" s="11">
        <v>1013</v>
      </c>
      <c r="G286" s="12">
        <v>24.119047619</v>
      </c>
      <c r="H286" s="11">
        <v>132.073011734</v>
      </c>
      <c r="K286" s="12" t="str">
        <f t="shared" si="4"/>
        <v/>
      </c>
    </row>
    <row r="287" spans="1:11" x14ac:dyDescent="0.3">
      <c r="A287" s="9">
        <v>289</v>
      </c>
      <c r="B287" t="s">
        <v>341</v>
      </c>
      <c r="E287" s="11">
        <v>3</v>
      </c>
      <c r="F287" s="11">
        <v>1</v>
      </c>
      <c r="G287" s="12">
        <v>1</v>
      </c>
      <c r="H287" s="11">
        <v>33.333333332999999</v>
      </c>
      <c r="I287" s="11">
        <v>25</v>
      </c>
      <c r="J287" s="11">
        <v>52</v>
      </c>
      <c r="K287" s="12">
        <f t="shared" si="4"/>
        <v>12.479999999999999</v>
      </c>
    </row>
    <row r="288" spans="1:11" x14ac:dyDescent="0.3">
      <c r="A288" s="9">
        <v>290</v>
      </c>
      <c r="B288" t="s">
        <v>342</v>
      </c>
      <c r="C288" s="10">
        <v>33285</v>
      </c>
      <c r="D288" t="s">
        <v>3</v>
      </c>
      <c r="E288" s="11">
        <v>988</v>
      </c>
      <c r="F288" s="11">
        <v>1269</v>
      </c>
      <c r="G288" s="12">
        <v>18.940298507000001</v>
      </c>
      <c r="H288" s="11">
        <v>128.44129554700001</v>
      </c>
      <c r="K288" s="12" t="str">
        <f t="shared" si="4"/>
        <v/>
      </c>
    </row>
    <row r="289" spans="1:11" x14ac:dyDescent="0.3">
      <c r="A289" s="9">
        <v>291</v>
      </c>
      <c r="B289" t="s">
        <v>343</v>
      </c>
      <c r="C289" s="10">
        <v>29333</v>
      </c>
      <c r="D289" t="s">
        <v>3</v>
      </c>
      <c r="E289" s="11">
        <v>20</v>
      </c>
      <c r="F289" s="11">
        <v>24</v>
      </c>
      <c r="G289" s="12">
        <v>12</v>
      </c>
      <c r="H289" s="11">
        <v>120</v>
      </c>
      <c r="I289" s="11">
        <v>30</v>
      </c>
      <c r="J289" s="11">
        <v>52</v>
      </c>
      <c r="K289" s="12">
        <f t="shared" si="4"/>
        <v>10.4</v>
      </c>
    </row>
    <row r="290" spans="1:11" x14ac:dyDescent="0.3">
      <c r="A290" s="9">
        <v>292</v>
      </c>
      <c r="B290" t="s">
        <v>344</v>
      </c>
      <c r="C290" s="10">
        <v>32903</v>
      </c>
      <c r="D290" t="s">
        <v>4</v>
      </c>
      <c r="E290" s="11">
        <v>98</v>
      </c>
      <c r="F290" s="11">
        <v>96</v>
      </c>
      <c r="G290" s="12">
        <v>16</v>
      </c>
      <c r="H290" s="11">
        <v>97.959183672999998</v>
      </c>
      <c r="I290" s="11">
        <v>612</v>
      </c>
      <c r="J290" s="11">
        <v>725</v>
      </c>
      <c r="K290" s="12">
        <f t="shared" si="4"/>
        <v>7.1078431372549016</v>
      </c>
    </row>
    <row r="291" spans="1:11" x14ac:dyDescent="0.3">
      <c r="A291" s="9">
        <v>293</v>
      </c>
      <c r="B291" t="s">
        <v>345</v>
      </c>
      <c r="C291" s="10">
        <v>33590</v>
      </c>
      <c r="D291" t="s">
        <v>3</v>
      </c>
      <c r="E291" s="11">
        <v>1227</v>
      </c>
      <c r="F291" s="11">
        <v>1535</v>
      </c>
      <c r="G291" s="12">
        <v>21.61971831</v>
      </c>
      <c r="H291" s="11">
        <v>125.101874491</v>
      </c>
      <c r="I291" s="11">
        <v>12</v>
      </c>
      <c r="J291" s="11">
        <v>26</v>
      </c>
      <c r="K291" s="12">
        <f t="shared" si="4"/>
        <v>13</v>
      </c>
    </row>
    <row r="292" spans="1:11" x14ac:dyDescent="0.3">
      <c r="A292" s="9">
        <v>294</v>
      </c>
      <c r="B292" t="s">
        <v>346</v>
      </c>
      <c r="C292" s="10">
        <v>30594</v>
      </c>
      <c r="D292" t="s">
        <v>84</v>
      </c>
      <c r="E292" s="11">
        <v>2</v>
      </c>
      <c r="F292" s="11">
        <v>2</v>
      </c>
      <c r="H292" s="11">
        <v>100</v>
      </c>
      <c r="I292" s="11">
        <v>28</v>
      </c>
      <c r="J292" s="11">
        <v>59</v>
      </c>
      <c r="K292" s="12">
        <f t="shared" si="4"/>
        <v>12.642857142857142</v>
      </c>
    </row>
    <row r="293" spans="1:11" x14ac:dyDescent="0.3">
      <c r="A293" s="9">
        <v>295</v>
      </c>
      <c r="B293" t="s">
        <v>347</v>
      </c>
      <c r="C293" s="10">
        <v>32245</v>
      </c>
      <c r="D293" t="s">
        <v>3</v>
      </c>
      <c r="H293" s="11"/>
      <c r="I293" s="11">
        <v>19</v>
      </c>
      <c r="J293" s="11">
        <v>33</v>
      </c>
      <c r="K293" s="12">
        <f t="shared" si="4"/>
        <v>10.421052631578949</v>
      </c>
    </row>
    <row r="294" spans="1:11" x14ac:dyDescent="0.3">
      <c r="A294" s="9">
        <v>296</v>
      </c>
      <c r="B294" t="s">
        <v>348</v>
      </c>
      <c r="C294" s="10">
        <v>31809</v>
      </c>
      <c r="D294" t="s">
        <v>4</v>
      </c>
      <c r="E294" s="11">
        <v>756</v>
      </c>
      <c r="F294" s="11">
        <v>969</v>
      </c>
      <c r="G294" s="12">
        <v>27.685714286</v>
      </c>
      <c r="H294" s="11">
        <v>128.17460317499999</v>
      </c>
      <c r="I294" s="11">
        <v>918</v>
      </c>
      <c r="J294" s="11">
        <v>1255</v>
      </c>
      <c r="K294" s="12">
        <f t="shared" si="4"/>
        <v>8.2026143790849666</v>
      </c>
    </row>
    <row r="295" spans="1:11" x14ac:dyDescent="0.3">
      <c r="A295" s="9">
        <v>297</v>
      </c>
      <c r="B295" t="s">
        <v>349</v>
      </c>
      <c r="C295" s="10">
        <v>33128</v>
      </c>
      <c r="D295" t="s">
        <v>3</v>
      </c>
      <c r="E295" s="11">
        <v>127</v>
      </c>
      <c r="F295" s="11">
        <v>125</v>
      </c>
      <c r="G295" s="12">
        <v>17.857142856999999</v>
      </c>
      <c r="H295" s="11">
        <v>98.425196850000006</v>
      </c>
      <c r="K295" s="12" t="str">
        <f t="shared" si="4"/>
        <v/>
      </c>
    </row>
    <row r="296" spans="1:11" x14ac:dyDescent="0.3">
      <c r="A296" s="9">
        <v>298</v>
      </c>
      <c r="B296" t="s">
        <v>350</v>
      </c>
      <c r="C296" s="10">
        <v>30721</v>
      </c>
      <c r="D296" t="s">
        <v>3</v>
      </c>
      <c r="E296" s="11">
        <v>208</v>
      </c>
      <c r="F296" s="11">
        <v>237</v>
      </c>
      <c r="G296" s="12">
        <v>15.8</v>
      </c>
      <c r="H296" s="11">
        <v>113.942307692</v>
      </c>
      <c r="K296" s="12" t="str">
        <f t="shared" si="4"/>
        <v/>
      </c>
    </row>
    <row r="297" spans="1:11" x14ac:dyDescent="0.3">
      <c r="A297" s="9">
        <v>299</v>
      </c>
      <c r="B297" t="s">
        <v>351</v>
      </c>
      <c r="C297" s="10">
        <v>33102</v>
      </c>
      <c r="D297" t="s">
        <v>91</v>
      </c>
      <c r="E297" s="11">
        <v>13</v>
      </c>
      <c r="F297" s="11">
        <v>14</v>
      </c>
      <c r="G297" s="12">
        <v>7</v>
      </c>
      <c r="H297" s="11">
        <v>107.692307692</v>
      </c>
      <c r="K297" s="12" t="str">
        <f t="shared" si="4"/>
        <v/>
      </c>
    </row>
    <row r="298" spans="1:11" x14ac:dyDescent="0.3">
      <c r="A298" s="9">
        <v>300</v>
      </c>
      <c r="B298" t="s">
        <v>352</v>
      </c>
      <c r="C298" s="10">
        <v>27541</v>
      </c>
      <c r="D298" t="s">
        <v>4</v>
      </c>
      <c r="E298" s="11">
        <v>1608</v>
      </c>
      <c r="F298" s="11">
        <v>1977</v>
      </c>
      <c r="G298" s="12">
        <v>38.019230769000004</v>
      </c>
      <c r="H298" s="11">
        <v>122.94776119399999</v>
      </c>
      <c r="K298" s="12" t="str">
        <f t="shared" si="4"/>
        <v/>
      </c>
    </row>
    <row r="299" spans="1:11" x14ac:dyDescent="0.3">
      <c r="A299" s="9">
        <v>301</v>
      </c>
      <c r="B299" t="s">
        <v>353</v>
      </c>
      <c r="C299" s="10">
        <v>30932</v>
      </c>
      <c r="D299" t="s">
        <v>3</v>
      </c>
      <c r="E299" s="11">
        <v>122</v>
      </c>
      <c r="F299" s="11">
        <v>177</v>
      </c>
      <c r="G299" s="12">
        <v>17.7</v>
      </c>
      <c r="H299" s="11">
        <v>145.08196721300001</v>
      </c>
      <c r="I299" s="11">
        <v>441</v>
      </c>
      <c r="J299" s="11">
        <v>532</v>
      </c>
      <c r="K299" s="12">
        <f t="shared" si="4"/>
        <v>7.2380952380952381</v>
      </c>
    </row>
    <row r="300" spans="1:11" x14ac:dyDescent="0.3">
      <c r="A300" s="9">
        <v>302</v>
      </c>
      <c r="B300" t="s">
        <v>354</v>
      </c>
      <c r="C300" s="10">
        <v>29892</v>
      </c>
      <c r="D300" t="s">
        <v>4</v>
      </c>
      <c r="E300" s="11">
        <v>161</v>
      </c>
      <c r="F300" s="11">
        <v>168</v>
      </c>
      <c r="G300" s="12">
        <v>12</v>
      </c>
      <c r="H300" s="11">
        <v>104.347826087</v>
      </c>
      <c r="I300" s="11">
        <v>1301</v>
      </c>
      <c r="J300" s="11">
        <v>1749</v>
      </c>
      <c r="K300" s="12">
        <f t="shared" si="4"/>
        <v>8.066102997694081</v>
      </c>
    </row>
    <row r="301" spans="1:11" x14ac:dyDescent="0.3">
      <c r="A301" s="9">
        <v>303</v>
      </c>
      <c r="B301" t="s">
        <v>355</v>
      </c>
      <c r="C301" s="10">
        <v>32961</v>
      </c>
      <c r="D301" t="s">
        <v>4</v>
      </c>
      <c r="H301" s="11"/>
      <c r="I301" s="11">
        <v>25</v>
      </c>
      <c r="J301" s="11">
        <v>62</v>
      </c>
      <c r="K301" s="12">
        <f t="shared" si="4"/>
        <v>14.879999999999999</v>
      </c>
    </row>
    <row r="302" spans="1:11" x14ac:dyDescent="0.3">
      <c r="A302" s="9">
        <v>304</v>
      </c>
      <c r="B302" t="s">
        <v>356</v>
      </c>
      <c r="C302" s="10">
        <v>27177</v>
      </c>
      <c r="D302" t="s">
        <v>5</v>
      </c>
      <c r="E302" s="11">
        <v>81</v>
      </c>
      <c r="F302" s="11">
        <v>117</v>
      </c>
      <c r="G302" s="12">
        <v>13</v>
      </c>
      <c r="H302" s="11">
        <v>144.444444444</v>
      </c>
      <c r="K302" s="12" t="str">
        <f t="shared" si="4"/>
        <v/>
      </c>
    </row>
    <row r="303" spans="1:11" x14ac:dyDescent="0.3">
      <c r="A303" s="9">
        <v>305</v>
      </c>
      <c r="B303" t="s">
        <v>357</v>
      </c>
      <c r="C303" s="10">
        <v>29678</v>
      </c>
      <c r="D303" t="s">
        <v>4</v>
      </c>
      <c r="E303" s="11">
        <v>94</v>
      </c>
      <c r="F303" s="11">
        <v>98</v>
      </c>
      <c r="G303" s="12">
        <v>19.600000000000001</v>
      </c>
      <c r="H303" s="11">
        <v>104.255319149</v>
      </c>
      <c r="I303" s="11">
        <v>66</v>
      </c>
      <c r="J303" s="11">
        <v>72</v>
      </c>
      <c r="K303" s="12">
        <f t="shared" si="4"/>
        <v>6.5454545454545459</v>
      </c>
    </row>
    <row r="304" spans="1:11" x14ac:dyDescent="0.3">
      <c r="A304" s="9">
        <v>306</v>
      </c>
      <c r="B304" t="s">
        <v>358</v>
      </c>
      <c r="C304" s="10">
        <v>31685</v>
      </c>
      <c r="D304" t="s">
        <v>15</v>
      </c>
      <c r="E304" s="11">
        <v>196</v>
      </c>
      <c r="F304" s="11">
        <v>271</v>
      </c>
      <c r="G304" s="12">
        <v>22.583333332999999</v>
      </c>
      <c r="H304" s="11">
        <v>138.265306122</v>
      </c>
      <c r="K304" s="12" t="str">
        <f t="shared" si="4"/>
        <v/>
      </c>
    </row>
    <row r="305" spans="1:11" x14ac:dyDescent="0.3">
      <c r="A305" s="9">
        <v>307</v>
      </c>
      <c r="B305" t="s">
        <v>359</v>
      </c>
      <c r="H305" s="11"/>
      <c r="I305" s="11">
        <v>31</v>
      </c>
      <c r="J305" s="11">
        <v>71</v>
      </c>
      <c r="K305" s="12">
        <f t="shared" si="4"/>
        <v>13.741935483870966</v>
      </c>
    </row>
    <row r="306" spans="1:11" x14ac:dyDescent="0.3">
      <c r="A306" s="9">
        <v>308</v>
      </c>
      <c r="B306" t="s">
        <v>360</v>
      </c>
      <c r="C306" s="10">
        <v>29263</v>
      </c>
      <c r="D306" t="s">
        <v>6</v>
      </c>
      <c r="E306" s="11">
        <v>193</v>
      </c>
      <c r="F306" s="11">
        <v>278</v>
      </c>
      <c r="G306" s="12">
        <v>27.8</v>
      </c>
      <c r="H306" s="11">
        <v>144.04145077699999</v>
      </c>
      <c r="K306" s="12" t="str">
        <f t="shared" si="4"/>
        <v/>
      </c>
    </row>
    <row r="307" spans="1:11" x14ac:dyDescent="0.3">
      <c r="A307" s="9">
        <v>309</v>
      </c>
      <c r="B307" t="s">
        <v>361</v>
      </c>
      <c r="C307" s="10">
        <v>31574</v>
      </c>
      <c r="D307" t="s">
        <v>15</v>
      </c>
      <c r="E307" s="11">
        <v>70</v>
      </c>
      <c r="F307" s="11">
        <v>88</v>
      </c>
      <c r="G307" s="12">
        <v>8</v>
      </c>
      <c r="H307" s="11">
        <v>125.714285714</v>
      </c>
      <c r="I307" s="11">
        <v>1346</v>
      </c>
      <c r="J307" s="11">
        <v>1869</v>
      </c>
      <c r="K307" s="12">
        <f t="shared" si="4"/>
        <v>8.3313521545319453</v>
      </c>
    </row>
    <row r="308" spans="1:11" x14ac:dyDescent="0.3">
      <c r="A308" s="9">
        <v>310</v>
      </c>
      <c r="B308" t="s">
        <v>362</v>
      </c>
      <c r="C308" s="10">
        <v>32761</v>
      </c>
      <c r="D308" t="s">
        <v>3</v>
      </c>
      <c r="E308" s="11">
        <v>2352</v>
      </c>
      <c r="F308" s="11">
        <v>2855</v>
      </c>
      <c r="G308" s="12">
        <v>30.052631579</v>
      </c>
      <c r="H308" s="11">
        <v>121.386054422</v>
      </c>
      <c r="K308" s="12" t="str">
        <f t="shared" si="4"/>
        <v/>
      </c>
    </row>
    <row r="309" spans="1:11" x14ac:dyDescent="0.3">
      <c r="A309" s="9">
        <v>311</v>
      </c>
      <c r="B309" t="s">
        <v>363</v>
      </c>
      <c r="C309" s="10">
        <v>31365</v>
      </c>
      <c r="D309" t="s">
        <v>3</v>
      </c>
      <c r="E309" s="11">
        <v>1446</v>
      </c>
      <c r="F309" s="11">
        <v>1696</v>
      </c>
      <c r="G309" s="12">
        <v>28.266666666999999</v>
      </c>
      <c r="H309" s="11">
        <v>117.28907330600001</v>
      </c>
      <c r="I309" s="11">
        <v>45</v>
      </c>
      <c r="J309" s="11">
        <v>86</v>
      </c>
      <c r="K309" s="12">
        <f t="shared" si="4"/>
        <v>11.466666666666667</v>
      </c>
    </row>
    <row r="310" spans="1:11" x14ac:dyDescent="0.3">
      <c r="A310" s="9">
        <v>312</v>
      </c>
      <c r="B310" t="s">
        <v>364</v>
      </c>
      <c r="C310" s="10">
        <v>26235</v>
      </c>
      <c r="D310" t="s">
        <v>4</v>
      </c>
      <c r="E310" s="11">
        <v>802</v>
      </c>
      <c r="F310" s="11">
        <v>1107</v>
      </c>
      <c r="G310" s="12">
        <v>41</v>
      </c>
      <c r="H310" s="11">
        <v>138.029925187</v>
      </c>
      <c r="K310" s="12" t="str">
        <f t="shared" si="4"/>
        <v/>
      </c>
    </row>
    <row r="311" spans="1:11" x14ac:dyDescent="0.3">
      <c r="A311" s="9">
        <v>313</v>
      </c>
      <c r="B311" t="s">
        <v>365</v>
      </c>
      <c r="C311" s="10">
        <v>30509</v>
      </c>
      <c r="D311" t="s">
        <v>3</v>
      </c>
      <c r="E311" s="11">
        <v>41</v>
      </c>
      <c r="F311" s="11">
        <v>39</v>
      </c>
      <c r="G311" s="12">
        <v>7.8</v>
      </c>
      <c r="H311" s="11">
        <v>95.12195122</v>
      </c>
      <c r="I311" s="11">
        <v>1382</v>
      </c>
      <c r="J311" s="11">
        <v>1733</v>
      </c>
      <c r="K311" s="12">
        <f t="shared" si="4"/>
        <v>7.5238784370477569</v>
      </c>
    </row>
    <row r="312" spans="1:11" x14ac:dyDescent="0.3">
      <c r="A312" s="9">
        <v>314</v>
      </c>
      <c r="B312" t="s">
        <v>366</v>
      </c>
      <c r="C312" s="10">
        <v>32404</v>
      </c>
      <c r="D312" t="s">
        <v>3</v>
      </c>
      <c r="E312" s="11">
        <v>117</v>
      </c>
      <c r="F312" s="11">
        <v>123</v>
      </c>
      <c r="G312" s="12">
        <v>8.7857142859999993</v>
      </c>
      <c r="H312" s="11">
        <v>105.128205128</v>
      </c>
      <c r="I312" s="11">
        <v>1770</v>
      </c>
      <c r="J312" s="11">
        <v>2457</v>
      </c>
      <c r="K312" s="12">
        <f t="shared" si="4"/>
        <v>8.3288135593220343</v>
      </c>
    </row>
    <row r="313" spans="1:11" x14ac:dyDescent="0.3">
      <c r="A313" s="9">
        <v>315</v>
      </c>
      <c r="B313" t="s">
        <v>367</v>
      </c>
      <c r="C313" s="10">
        <v>29622</v>
      </c>
      <c r="D313" t="s">
        <v>94</v>
      </c>
      <c r="E313" s="11">
        <v>171</v>
      </c>
      <c r="F313" s="11">
        <v>161</v>
      </c>
      <c r="G313" s="12">
        <v>13.416666666999999</v>
      </c>
      <c r="H313" s="11">
        <v>94.152046784000007</v>
      </c>
      <c r="I313" s="11">
        <v>219</v>
      </c>
      <c r="J313" s="11">
        <v>285</v>
      </c>
      <c r="K313" s="12">
        <f t="shared" si="4"/>
        <v>7.8082191780821919</v>
      </c>
    </row>
    <row r="314" spans="1:11" x14ac:dyDescent="0.3">
      <c r="A314" s="9">
        <v>316</v>
      </c>
      <c r="B314" t="s">
        <v>368</v>
      </c>
      <c r="C314" s="10">
        <v>28934</v>
      </c>
      <c r="D314" t="s">
        <v>7</v>
      </c>
      <c r="E314" s="11">
        <v>132</v>
      </c>
      <c r="F314" s="11">
        <v>167</v>
      </c>
      <c r="G314" s="12">
        <v>55.666666667000001</v>
      </c>
      <c r="H314" s="11">
        <v>126.515151515</v>
      </c>
      <c r="K314" s="12" t="str">
        <f t="shared" si="4"/>
        <v/>
      </c>
    </row>
    <row r="315" spans="1:11" x14ac:dyDescent="0.3">
      <c r="A315" s="9">
        <v>317</v>
      </c>
      <c r="B315" t="s">
        <v>369</v>
      </c>
      <c r="C315" s="10">
        <v>30870</v>
      </c>
      <c r="D315" t="s">
        <v>84</v>
      </c>
      <c r="E315" s="11">
        <v>10</v>
      </c>
      <c r="F315" s="11">
        <v>2</v>
      </c>
      <c r="G315" s="12">
        <v>2</v>
      </c>
      <c r="H315" s="11">
        <v>20</v>
      </c>
      <c r="K315" s="12" t="str">
        <f t="shared" si="4"/>
        <v/>
      </c>
    </row>
    <row r="316" spans="1:11" x14ac:dyDescent="0.3">
      <c r="A316" s="9">
        <v>318</v>
      </c>
      <c r="B316" t="s">
        <v>370</v>
      </c>
      <c r="C316" s="10">
        <v>30305</v>
      </c>
      <c r="D316" t="s">
        <v>5</v>
      </c>
      <c r="E316" s="11">
        <v>6</v>
      </c>
      <c r="F316" s="11">
        <v>3</v>
      </c>
      <c r="G316" s="12">
        <v>1.5</v>
      </c>
      <c r="H316" s="11">
        <v>50</v>
      </c>
      <c r="I316" s="11">
        <v>199</v>
      </c>
      <c r="J316" s="11">
        <v>307</v>
      </c>
      <c r="K316" s="12">
        <f t="shared" si="4"/>
        <v>9.2562814070351767</v>
      </c>
    </row>
    <row r="317" spans="1:11" x14ac:dyDescent="0.3">
      <c r="A317" s="9">
        <v>319</v>
      </c>
      <c r="B317" t="s">
        <v>371</v>
      </c>
      <c r="C317" s="10">
        <v>29511</v>
      </c>
      <c r="D317" t="s">
        <v>5</v>
      </c>
      <c r="E317" s="11">
        <v>82</v>
      </c>
      <c r="F317" s="11">
        <v>64</v>
      </c>
      <c r="G317" s="12">
        <v>8</v>
      </c>
      <c r="H317" s="11">
        <v>78.048780488000006</v>
      </c>
      <c r="I317" s="11">
        <v>63</v>
      </c>
      <c r="J317" s="11">
        <v>71</v>
      </c>
      <c r="K317" s="12">
        <f t="shared" si="4"/>
        <v>6.7619047619047619</v>
      </c>
    </row>
    <row r="318" spans="1:11" x14ac:dyDescent="0.3">
      <c r="A318" s="9">
        <v>320</v>
      </c>
      <c r="B318" t="s">
        <v>372</v>
      </c>
      <c r="E318" s="11">
        <v>91</v>
      </c>
      <c r="F318" s="11">
        <v>142</v>
      </c>
      <c r="G318" s="12">
        <v>17.75</v>
      </c>
      <c r="H318" s="11">
        <v>156.043956044</v>
      </c>
      <c r="I318" s="11">
        <v>271</v>
      </c>
      <c r="J318" s="11">
        <v>314</v>
      </c>
      <c r="K318" s="12">
        <f t="shared" si="4"/>
        <v>6.9520295202952029</v>
      </c>
    </row>
    <row r="319" spans="1:11" x14ac:dyDescent="0.3">
      <c r="A319" s="9">
        <v>321</v>
      </c>
      <c r="B319" t="s">
        <v>373</v>
      </c>
      <c r="C319" s="10">
        <v>33119</v>
      </c>
      <c r="D319" t="s">
        <v>3</v>
      </c>
      <c r="E319" s="11">
        <v>52</v>
      </c>
      <c r="F319" s="11">
        <v>54</v>
      </c>
      <c r="G319" s="12">
        <v>6</v>
      </c>
      <c r="H319" s="11">
        <v>103.84615384600001</v>
      </c>
      <c r="I319" s="11">
        <v>1075</v>
      </c>
      <c r="J319" s="11">
        <v>1599</v>
      </c>
      <c r="K319" s="12">
        <f t="shared" si="4"/>
        <v>8.924651162790699</v>
      </c>
    </row>
    <row r="320" spans="1:11" x14ac:dyDescent="0.3">
      <c r="A320" s="9">
        <v>322</v>
      </c>
      <c r="B320" t="s">
        <v>374</v>
      </c>
      <c r="E320" s="11">
        <v>36</v>
      </c>
      <c r="F320" s="11">
        <v>32</v>
      </c>
      <c r="G320" s="12">
        <v>10.666666666999999</v>
      </c>
      <c r="H320" s="11">
        <v>88.888888889</v>
      </c>
      <c r="I320" s="11">
        <v>584</v>
      </c>
      <c r="J320" s="11">
        <v>900</v>
      </c>
      <c r="K320" s="12">
        <f t="shared" si="4"/>
        <v>9.2465753424657535</v>
      </c>
    </row>
    <row r="321" spans="1:11" x14ac:dyDescent="0.3">
      <c r="A321" s="9">
        <v>323</v>
      </c>
      <c r="B321" t="s">
        <v>375</v>
      </c>
      <c r="C321" s="10">
        <v>32736</v>
      </c>
      <c r="D321" t="s">
        <v>4</v>
      </c>
      <c r="E321" s="11">
        <v>362</v>
      </c>
      <c r="F321" s="11">
        <v>476</v>
      </c>
      <c r="G321" s="12">
        <v>31.733333333000001</v>
      </c>
      <c r="H321" s="11">
        <v>131.491712707</v>
      </c>
      <c r="I321" s="11">
        <v>378</v>
      </c>
      <c r="J321" s="11">
        <v>588</v>
      </c>
      <c r="K321" s="12">
        <f t="shared" si="4"/>
        <v>9.3333333333333339</v>
      </c>
    </row>
    <row r="322" spans="1:11" x14ac:dyDescent="0.3">
      <c r="A322" s="9">
        <v>324</v>
      </c>
      <c r="B322" t="s">
        <v>376</v>
      </c>
      <c r="C322" s="10">
        <v>33531</v>
      </c>
      <c r="D322" t="s">
        <v>4</v>
      </c>
      <c r="E322" s="11">
        <v>196</v>
      </c>
      <c r="F322" s="11">
        <v>225</v>
      </c>
      <c r="G322" s="12">
        <v>18.75</v>
      </c>
      <c r="H322" s="11">
        <v>114.795918367</v>
      </c>
      <c r="I322" s="11">
        <v>327</v>
      </c>
      <c r="J322" s="11">
        <v>420</v>
      </c>
      <c r="K322" s="12">
        <f t="shared" ref="K322:K385" si="5">IF(J322&lt;&gt;0,J322/(I322/6),"")</f>
        <v>7.7064220183486238</v>
      </c>
    </row>
    <row r="323" spans="1:11" x14ac:dyDescent="0.3">
      <c r="A323" s="9">
        <v>325</v>
      </c>
      <c r="B323" t="s">
        <v>377</v>
      </c>
      <c r="C323" s="10">
        <v>31043</v>
      </c>
      <c r="D323" t="s">
        <v>3</v>
      </c>
      <c r="E323" s="11">
        <v>697</v>
      </c>
      <c r="F323" s="11">
        <v>798</v>
      </c>
      <c r="G323" s="12">
        <v>21.567567568000001</v>
      </c>
      <c r="H323" s="11">
        <v>114.49067431899999</v>
      </c>
      <c r="K323" s="12" t="str">
        <f t="shared" si="5"/>
        <v/>
      </c>
    </row>
    <row r="324" spans="1:11" x14ac:dyDescent="0.3">
      <c r="A324" s="9">
        <v>326</v>
      </c>
      <c r="B324" t="s">
        <v>378</v>
      </c>
      <c r="C324" s="10">
        <v>29774</v>
      </c>
      <c r="D324" t="s">
        <v>3</v>
      </c>
      <c r="E324" s="11">
        <v>3206</v>
      </c>
      <c r="F324" s="11">
        <v>4450</v>
      </c>
      <c r="G324" s="12">
        <v>37.711864407</v>
      </c>
      <c r="H324" s="11">
        <v>138.80224578900001</v>
      </c>
      <c r="K324" s="12" t="str">
        <f t="shared" si="5"/>
        <v/>
      </c>
    </row>
    <row r="325" spans="1:11" x14ac:dyDescent="0.3">
      <c r="A325" s="9">
        <v>327</v>
      </c>
      <c r="B325" t="s">
        <v>379</v>
      </c>
      <c r="C325" s="10">
        <v>30685</v>
      </c>
      <c r="D325" t="s">
        <v>3</v>
      </c>
      <c r="E325" s="11">
        <v>70</v>
      </c>
      <c r="F325" s="11">
        <v>99</v>
      </c>
      <c r="G325" s="12">
        <v>11</v>
      </c>
      <c r="H325" s="11">
        <v>141.42857142899999</v>
      </c>
      <c r="I325" s="11">
        <v>925</v>
      </c>
      <c r="J325" s="11">
        <v>1317</v>
      </c>
      <c r="K325" s="12">
        <f t="shared" si="5"/>
        <v>8.5427027027027034</v>
      </c>
    </row>
    <row r="326" spans="1:11" x14ac:dyDescent="0.3">
      <c r="A326" s="9">
        <v>328</v>
      </c>
      <c r="B326" t="s">
        <v>380</v>
      </c>
      <c r="C326" s="10">
        <v>32137</v>
      </c>
      <c r="D326" t="s">
        <v>4</v>
      </c>
      <c r="E326" s="11">
        <v>33</v>
      </c>
      <c r="F326" s="11">
        <v>22</v>
      </c>
      <c r="G326" s="12">
        <v>7.3333333329999997</v>
      </c>
      <c r="H326" s="11">
        <v>66.666666667000001</v>
      </c>
      <c r="K326" s="12" t="str">
        <f t="shared" si="5"/>
        <v/>
      </c>
    </row>
    <row r="327" spans="1:11" x14ac:dyDescent="0.3">
      <c r="A327" s="9">
        <v>329</v>
      </c>
      <c r="B327" t="s">
        <v>381</v>
      </c>
      <c r="C327" s="10">
        <v>34948</v>
      </c>
      <c r="D327" t="s">
        <v>84</v>
      </c>
      <c r="E327" s="11">
        <v>3</v>
      </c>
      <c r="F327" s="11">
        <v>1</v>
      </c>
      <c r="G327" s="12">
        <v>1</v>
      </c>
      <c r="H327" s="11">
        <v>33.333333332999999</v>
      </c>
      <c r="I327" s="11">
        <v>560</v>
      </c>
      <c r="J327" s="11">
        <v>697</v>
      </c>
      <c r="K327" s="12">
        <f t="shared" si="5"/>
        <v>7.4678571428571434</v>
      </c>
    </row>
    <row r="328" spans="1:11" x14ac:dyDescent="0.3">
      <c r="A328" s="9">
        <v>330</v>
      </c>
      <c r="B328" t="s">
        <v>382</v>
      </c>
      <c r="C328" s="10">
        <v>28097</v>
      </c>
      <c r="D328" t="s">
        <v>7</v>
      </c>
      <c r="E328" s="11">
        <v>308</v>
      </c>
      <c r="F328" s="11">
        <v>394</v>
      </c>
      <c r="G328" s="12">
        <v>26.266666666999999</v>
      </c>
      <c r="H328" s="11">
        <v>127.922077922</v>
      </c>
      <c r="K328" s="12" t="str">
        <f t="shared" si="5"/>
        <v/>
      </c>
    </row>
    <row r="329" spans="1:11" x14ac:dyDescent="0.3">
      <c r="A329" s="9">
        <v>331</v>
      </c>
      <c r="B329" t="s">
        <v>383</v>
      </c>
      <c r="E329" s="11">
        <v>16</v>
      </c>
      <c r="F329" s="11">
        <v>7</v>
      </c>
      <c r="G329" s="12">
        <v>7</v>
      </c>
      <c r="H329" s="11">
        <v>43.75</v>
      </c>
      <c r="K329" s="12" t="str">
        <f t="shared" si="5"/>
        <v/>
      </c>
    </row>
    <row r="330" spans="1:11" x14ac:dyDescent="0.3">
      <c r="A330" s="9">
        <v>332</v>
      </c>
      <c r="B330" t="s">
        <v>384</v>
      </c>
      <c r="E330" s="11">
        <v>106</v>
      </c>
      <c r="F330" s="11">
        <v>170</v>
      </c>
      <c r="G330" s="12">
        <v>28.333333332999999</v>
      </c>
      <c r="H330" s="11">
        <v>160.377358491</v>
      </c>
      <c r="K330" s="12" t="str">
        <f t="shared" si="5"/>
        <v/>
      </c>
    </row>
    <row r="331" spans="1:11" x14ac:dyDescent="0.3">
      <c r="A331" s="9">
        <v>333</v>
      </c>
      <c r="B331" t="s">
        <v>385</v>
      </c>
      <c r="C331" s="10">
        <v>34330</v>
      </c>
      <c r="D331" t="s">
        <v>3</v>
      </c>
      <c r="E331" s="11">
        <v>808</v>
      </c>
      <c r="F331" s="11">
        <v>1093</v>
      </c>
      <c r="G331" s="12">
        <v>27.324999999999999</v>
      </c>
      <c r="H331" s="11">
        <v>135.27227722800001</v>
      </c>
      <c r="I331" s="11">
        <v>94</v>
      </c>
      <c r="J331" s="11">
        <v>124</v>
      </c>
      <c r="K331" s="12">
        <f t="shared" si="5"/>
        <v>7.9148936170212769</v>
      </c>
    </row>
    <row r="332" spans="1:11" x14ac:dyDescent="0.3">
      <c r="A332" s="9">
        <v>334</v>
      </c>
      <c r="B332" t="s">
        <v>386</v>
      </c>
      <c r="C332" s="10">
        <v>32444</v>
      </c>
      <c r="D332" t="s">
        <v>3</v>
      </c>
      <c r="E332" s="11">
        <v>144</v>
      </c>
      <c r="F332" s="11">
        <v>142</v>
      </c>
      <c r="G332" s="12">
        <v>11.833333333000001</v>
      </c>
      <c r="H332" s="11">
        <v>98.611111111</v>
      </c>
      <c r="I332" s="11">
        <v>300</v>
      </c>
      <c r="J332" s="11">
        <v>434</v>
      </c>
      <c r="K332" s="12">
        <f t="shared" si="5"/>
        <v>8.68</v>
      </c>
    </row>
    <row r="333" spans="1:11" x14ac:dyDescent="0.3">
      <c r="A333" s="9">
        <v>335</v>
      </c>
      <c r="B333" t="s">
        <v>387</v>
      </c>
      <c r="H333" s="11"/>
      <c r="I333" s="11">
        <v>25</v>
      </c>
      <c r="J333" s="11">
        <v>18</v>
      </c>
      <c r="K333" s="12">
        <f t="shared" si="5"/>
        <v>4.3199999999999994</v>
      </c>
    </row>
    <row r="334" spans="1:11" x14ac:dyDescent="0.3">
      <c r="A334" s="9">
        <v>336</v>
      </c>
      <c r="B334" t="s">
        <v>388</v>
      </c>
      <c r="C334" s="10">
        <v>28769</v>
      </c>
      <c r="D334" t="s">
        <v>3</v>
      </c>
      <c r="E334" s="11">
        <v>13</v>
      </c>
      <c r="F334" s="11">
        <v>0</v>
      </c>
      <c r="G334" s="12">
        <v>0</v>
      </c>
      <c r="H334" s="11">
        <v>0</v>
      </c>
      <c r="I334" s="11">
        <v>57</v>
      </c>
      <c r="J334" s="11">
        <v>79</v>
      </c>
      <c r="K334" s="12">
        <f t="shared" si="5"/>
        <v>8.3157894736842106</v>
      </c>
    </row>
    <row r="335" spans="1:11" x14ac:dyDescent="0.3">
      <c r="A335" s="9">
        <v>337</v>
      </c>
      <c r="B335" t="s">
        <v>389</v>
      </c>
      <c r="E335" s="11">
        <v>118</v>
      </c>
      <c r="F335" s="11">
        <v>121</v>
      </c>
      <c r="G335" s="12">
        <v>24.2</v>
      </c>
      <c r="H335" s="11">
        <v>102.54237288100001</v>
      </c>
      <c r="K335" s="12" t="str">
        <f t="shared" si="5"/>
        <v/>
      </c>
    </row>
    <row r="336" spans="1:11" x14ac:dyDescent="0.3">
      <c r="A336" s="9">
        <v>338</v>
      </c>
      <c r="B336" t="s">
        <v>390</v>
      </c>
      <c r="C336" s="10">
        <v>33593</v>
      </c>
      <c r="D336" t="s">
        <v>4</v>
      </c>
      <c r="E336" s="11">
        <v>21</v>
      </c>
      <c r="F336" s="11">
        <v>20</v>
      </c>
      <c r="G336" s="12">
        <v>6.6666666670000003</v>
      </c>
      <c r="H336" s="11">
        <v>95.238095238</v>
      </c>
      <c r="K336" s="12" t="str">
        <f t="shared" si="5"/>
        <v/>
      </c>
    </row>
    <row r="337" spans="1:11" x14ac:dyDescent="0.3">
      <c r="A337" s="9">
        <v>339</v>
      </c>
      <c r="B337" t="s">
        <v>391</v>
      </c>
      <c r="C337" s="10">
        <v>30266</v>
      </c>
      <c r="D337" t="s">
        <v>4</v>
      </c>
      <c r="E337" s="11">
        <v>1</v>
      </c>
      <c r="F337" s="11">
        <v>1</v>
      </c>
      <c r="H337" s="11">
        <v>100</v>
      </c>
      <c r="I337" s="11">
        <v>18</v>
      </c>
      <c r="J337" s="11">
        <v>20</v>
      </c>
      <c r="K337" s="12">
        <f t="shared" si="5"/>
        <v>6.666666666666667</v>
      </c>
    </row>
    <row r="338" spans="1:11" x14ac:dyDescent="0.3">
      <c r="A338" s="9">
        <v>341</v>
      </c>
      <c r="B338" t="s">
        <v>392</v>
      </c>
      <c r="C338" s="10">
        <v>29465</v>
      </c>
      <c r="D338" t="s">
        <v>15</v>
      </c>
      <c r="E338" s="11">
        <v>21</v>
      </c>
      <c r="F338" s="11">
        <v>26</v>
      </c>
      <c r="G338" s="12">
        <v>8.6666666669999994</v>
      </c>
      <c r="H338" s="11">
        <v>123.80952381</v>
      </c>
      <c r="I338" s="11">
        <v>30</v>
      </c>
      <c r="J338" s="11">
        <v>35</v>
      </c>
      <c r="K338" s="12">
        <f t="shared" si="5"/>
        <v>7</v>
      </c>
    </row>
    <row r="339" spans="1:11" x14ac:dyDescent="0.3">
      <c r="A339" s="9">
        <v>342</v>
      </c>
      <c r="B339" t="s">
        <v>393</v>
      </c>
      <c r="C339" s="10">
        <v>32601</v>
      </c>
      <c r="D339" t="s">
        <v>91</v>
      </c>
      <c r="E339" s="11">
        <v>305</v>
      </c>
      <c r="F339" s="11">
        <v>424</v>
      </c>
      <c r="G339" s="12">
        <v>17.666666667000001</v>
      </c>
      <c r="H339" s="11">
        <v>139.016393443</v>
      </c>
      <c r="I339" s="11">
        <v>715</v>
      </c>
      <c r="J339" s="11">
        <v>1031</v>
      </c>
      <c r="K339" s="12">
        <f t="shared" si="5"/>
        <v>8.651748251748252</v>
      </c>
    </row>
    <row r="340" spans="1:11" x14ac:dyDescent="0.3">
      <c r="A340" s="9">
        <v>343</v>
      </c>
      <c r="B340" t="s">
        <v>394</v>
      </c>
      <c r="C340" s="10">
        <v>32061</v>
      </c>
      <c r="D340" t="s">
        <v>4</v>
      </c>
      <c r="E340" s="11">
        <v>50</v>
      </c>
      <c r="F340" s="11">
        <v>52</v>
      </c>
      <c r="G340" s="12">
        <v>7.4285714289999998</v>
      </c>
      <c r="H340" s="11">
        <v>104</v>
      </c>
      <c r="I340" s="11">
        <v>586</v>
      </c>
      <c r="J340" s="11">
        <v>739</v>
      </c>
      <c r="K340" s="12">
        <f t="shared" si="5"/>
        <v>7.5665529010238908</v>
      </c>
    </row>
    <row r="341" spans="1:11" x14ac:dyDescent="0.3">
      <c r="A341" s="9">
        <v>344</v>
      </c>
      <c r="B341" t="s">
        <v>395</v>
      </c>
      <c r="C341" s="10">
        <v>34647</v>
      </c>
      <c r="D341" t="s">
        <v>3</v>
      </c>
      <c r="E341" s="11">
        <v>31</v>
      </c>
      <c r="F341" s="11">
        <v>23</v>
      </c>
      <c r="G341" s="12">
        <v>11.5</v>
      </c>
      <c r="H341" s="11">
        <v>74.193548387000007</v>
      </c>
      <c r="K341" s="12" t="str">
        <f t="shared" si="5"/>
        <v/>
      </c>
    </row>
    <row r="342" spans="1:11" x14ac:dyDescent="0.3">
      <c r="A342" s="9">
        <v>345</v>
      </c>
      <c r="B342" t="s">
        <v>396</v>
      </c>
      <c r="C342" s="10">
        <v>30517</v>
      </c>
      <c r="D342" t="s">
        <v>3</v>
      </c>
      <c r="E342" s="11">
        <v>1308</v>
      </c>
      <c r="F342" s="11">
        <v>1555</v>
      </c>
      <c r="G342" s="12">
        <v>21.013513514</v>
      </c>
      <c r="H342" s="11">
        <v>118.88379204899999</v>
      </c>
      <c r="K342" s="12" t="str">
        <f t="shared" si="5"/>
        <v/>
      </c>
    </row>
    <row r="343" spans="1:11" x14ac:dyDescent="0.3">
      <c r="A343" s="9">
        <v>346</v>
      </c>
      <c r="B343" t="s">
        <v>397</v>
      </c>
      <c r="H343" s="11"/>
      <c r="I343" s="11">
        <v>63</v>
      </c>
      <c r="J343" s="11">
        <v>94</v>
      </c>
      <c r="K343" s="12">
        <f t="shared" si="5"/>
        <v>8.9523809523809526</v>
      </c>
    </row>
    <row r="344" spans="1:11" x14ac:dyDescent="0.3">
      <c r="A344" s="9">
        <v>347</v>
      </c>
      <c r="B344" t="s">
        <v>398</v>
      </c>
      <c r="C344" s="10">
        <v>28785</v>
      </c>
      <c r="D344" t="s">
        <v>6</v>
      </c>
      <c r="E344" s="11">
        <v>386</v>
      </c>
      <c r="F344" s="11">
        <v>506</v>
      </c>
      <c r="G344" s="12">
        <v>38.923076923000004</v>
      </c>
      <c r="H344" s="11">
        <v>131.088082902</v>
      </c>
      <c r="K344" s="12" t="str">
        <f t="shared" si="5"/>
        <v/>
      </c>
    </row>
    <row r="345" spans="1:11" x14ac:dyDescent="0.3">
      <c r="A345" s="9">
        <v>348</v>
      </c>
      <c r="B345" t="s">
        <v>399</v>
      </c>
      <c r="C345" s="10">
        <v>30103</v>
      </c>
      <c r="D345" t="s">
        <v>3</v>
      </c>
      <c r="H345" s="11"/>
      <c r="I345" s="11">
        <v>132</v>
      </c>
      <c r="J345" s="11">
        <v>241</v>
      </c>
      <c r="K345" s="12">
        <f t="shared" si="5"/>
        <v>10.954545454545455</v>
      </c>
    </row>
    <row r="346" spans="1:11" x14ac:dyDescent="0.3">
      <c r="A346" s="9">
        <v>349</v>
      </c>
      <c r="B346" t="s">
        <v>400</v>
      </c>
      <c r="C346" s="10">
        <v>31612</v>
      </c>
      <c r="D346" t="s">
        <v>3</v>
      </c>
      <c r="E346" s="11">
        <v>14</v>
      </c>
      <c r="F346" s="11">
        <v>5</v>
      </c>
      <c r="G346" s="12">
        <v>1.6666666670000001</v>
      </c>
      <c r="H346" s="11">
        <v>35.714285713999999</v>
      </c>
      <c r="I346" s="11">
        <v>774</v>
      </c>
      <c r="J346" s="11">
        <v>1046</v>
      </c>
      <c r="K346" s="12">
        <f t="shared" si="5"/>
        <v>8.1085271317829459</v>
      </c>
    </row>
    <row r="347" spans="1:11" x14ac:dyDescent="0.3">
      <c r="A347" s="9">
        <v>350</v>
      </c>
      <c r="B347" t="s">
        <v>401</v>
      </c>
      <c r="E347" s="11">
        <v>6</v>
      </c>
      <c r="F347" s="11">
        <v>8</v>
      </c>
      <c r="G347" s="12">
        <v>8</v>
      </c>
      <c r="H347" s="11">
        <v>133.33333333300001</v>
      </c>
      <c r="K347" s="12" t="str">
        <f t="shared" si="5"/>
        <v/>
      </c>
    </row>
    <row r="348" spans="1:11" x14ac:dyDescent="0.3">
      <c r="A348" s="9">
        <v>352</v>
      </c>
      <c r="B348" t="s">
        <v>402</v>
      </c>
      <c r="C348" s="10">
        <v>31005</v>
      </c>
      <c r="D348" t="s">
        <v>3</v>
      </c>
      <c r="E348" s="11">
        <v>138</v>
      </c>
      <c r="F348" s="11">
        <v>127</v>
      </c>
      <c r="G348" s="12">
        <v>10.583333333000001</v>
      </c>
      <c r="H348" s="11">
        <v>92.028985507000002</v>
      </c>
      <c r="K348" s="12" t="str">
        <f t="shared" si="5"/>
        <v/>
      </c>
    </row>
    <row r="349" spans="1:11" x14ac:dyDescent="0.3">
      <c r="A349" s="9">
        <v>353</v>
      </c>
      <c r="B349" t="s">
        <v>403</v>
      </c>
      <c r="E349" s="11">
        <v>7</v>
      </c>
      <c r="F349" s="11">
        <v>1</v>
      </c>
      <c r="G349" s="12">
        <v>1</v>
      </c>
      <c r="H349" s="11">
        <v>14.285714285999999</v>
      </c>
      <c r="I349" s="11">
        <v>437</v>
      </c>
      <c r="J349" s="11">
        <v>685</v>
      </c>
      <c r="K349" s="12">
        <f t="shared" si="5"/>
        <v>9.4050343249427932</v>
      </c>
    </row>
    <row r="350" spans="1:11" x14ac:dyDescent="0.3">
      <c r="A350" s="9">
        <v>354</v>
      </c>
      <c r="B350" t="s">
        <v>404</v>
      </c>
      <c r="C350" s="10">
        <v>31687</v>
      </c>
      <c r="D350" t="s">
        <v>3</v>
      </c>
      <c r="E350" s="11">
        <v>314</v>
      </c>
      <c r="F350" s="11">
        <v>340</v>
      </c>
      <c r="G350" s="12">
        <v>10</v>
      </c>
      <c r="H350" s="11">
        <v>108.280254777</v>
      </c>
      <c r="I350" s="11">
        <v>2637</v>
      </c>
      <c r="J350" s="11">
        <v>3342</v>
      </c>
      <c r="K350" s="12">
        <f t="shared" si="5"/>
        <v>7.6040955631399321</v>
      </c>
    </row>
    <row r="351" spans="1:11" x14ac:dyDescent="0.3">
      <c r="A351" s="9">
        <v>355</v>
      </c>
      <c r="B351" t="s">
        <v>405</v>
      </c>
      <c r="C351" s="10">
        <v>33975</v>
      </c>
      <c r="D351" t="s">
        <v>3</v>
      </c>
      <c r="E351" s="11">
        <v>288</v>
      </c>
      <c r="F351" s="11">
        <v>365</v>
      </c>
      <c r="G351" s="12">
        <v>14.038461538</v>
      </c>
      <c r="H351" s="11">
        <v>126.736111111</v>
      </c>
      <c r="I351" s="11">
        <v>734</v>
      </c>
      <c r="J351" s="11">
        <v>959</v>
      </c>
      <c r="K351" s="12">
        <f t="shared" si="5"/>
        <v>7.8392370572207088</v>
      </c>
    </row>
    <row r="352" spans="1:11" x14ac:dyDescent="0.3">
      <c r="A352" s="9">
        <v>356</v>
      </c>
      <c r="B352" t="s">
        <v>406</v>
      </c>
      <c r="C352" s="10">
        <v>31197</v>
      </c>
      <c r="D352" t="s">
        <v>3</v>
      </c>
      <c r="E352" s="11">
        <v>2</v>
      </c>
      <c r="F352" s="11">
        <v>1</v>
      </c>
      <c r="H352" s="11">
        <v>50</v>
      </c>
      <c r="I352" s="11">
        <v>159</v>
      </c>
      <c r="J352" s="11">
        <v>226</v>
      </c>
      <c r="K352" s="12">
        <f t="shared" si="5"/>
        <v>8.5283018867924536</v>
      </c>
    </row>
    <row r="353" spans="1:11" x14ac:dyDescent="0.3">
      <c r="A353" s="9">
        <v>357</v>
      </c>
      <c r="B353" t="s">
        <v>407</v>
      </c>
      <c r="C353" s="10">
        <v>31189</v>
      </c>
      <c r="D353" t="s">
        <v>3</v>
      </c>
      <c r="H353" s="11"/>
      <c r="I353" s="11">
        <v>6</v>
      </c>
      <c r="J353" s="11">
        <v>18</v>
      </c>
      <c r="K353" s="12">
        <f t="shared" si="5"/>
        <v>18</v>
      </c>
    </row>
    <row r="354" spans="1:11" x14ac:dyDescent="0.3">
      <c r="A354" s="9">
        <v>358</v>
      </c>
      <c r="B354" t="s">
        <v>408</v>
      </c>
      <c r="E354" s="11">
        <v>24</v>
      </c>
      <c r="F354" s="11">
        <v>19</v>
      </c>
      <c r="G354" s="12">
        <v>19</v>
      </c>
      <c r="H354" s="11">
        <v>79.166666667000001</v>
      </c>
      <c r="I354" s="11">
        <v>24</v>
      </c>
      <c r="J354" s="11">
        <v>56</v>
      </c>
      <c r="K354" s="12">
        <f t="shared" si="5"/>
        <v>14</v>
      </c>
    </row>
    <row r="355" spans="1:11" x14ac:dyDescent="0.3">
      <c r="A355" s="9">
        <v>359</v>
      </c>
      <c r="B355" t="s">
        <v>409</v>
      </c>
      <c r="E355" s="11">
        <v>1</v>
      </c>
      <c r="F355" s="11">
        <v>0</v>
      </c>
      <c r="H355" s="11">
        <v>0</v>
      </c>
      <c r="I355" s="11">
        <v>33</v>
      </c>
      <c r="J355" s="11">
        <v>60</v>
      </c>
      <c r="K355" s="12">
        <f t="shared" si="5"/>
        <v>10.909090909090908</v>
      </c>
    </row>
    <row r="356" spans="1:11" x14ac:dyDescent="0.3">
      <c r="A356" s="9">
        <v>360</v>
      </c>
      <c r="B356" t="s">
        <v>410</v>
      </c>
      <c r="C356" s="10">
        <v>31280</v>
      </c>
      <c r="D356" t="s">
        <v>3</v>
      </c>
      <c r="E356" s="11">
        <v>13</v>
      </c>
      <c r="F356" s="11">
        <v>19</v>
      </c>
      <c r="H356" s="11">
        <v>146.15384615400001</v>
      </c>
      <c r="I356" s="11">
        <v>107</v>
      </c>
      <c r="J356" s="11">
        <v>152</v>
      </c>
      <c r="K356" s="12">
        <f t="shared" si="5"/>
        <v>8.5233644859813094</v>
      </c>
    </row>
    <row r="357" spans="1:11" x14ac:dyDescent="0.3">
      <c r="A357" s="9">
        <v>361</v>
      </c>
      <c r="B357" t="s">
        <v>411</v>
      </c>
      <c r="E357" s="11">
        <v>423</v>
      </c>
      <c r="F357" s="11">
        <v>604</v>
      </c>
      <c r="G357" s="12">
        <v>25.166666667000001</v>
      </c>
      <c r="H357" s="11">
        <v>142.789598109</v>
      </c>
      <c r="K357" s="12" t="str">
        <f t="shared" si="5"/>
        <v/>
      </c>
    </row>
    <row r="358" spans="1:11" x14ac:dyDescent="0.3">
      <c r="A358" s="9">
        <v>362</v>
      </c>
      <c r="B358" t="s">
        <v>412</v>
      </c>
      <c r="C358" s="10">
        <v>32796</v>
      </c>
      <c r="D358" t="s">
        <v>3</v>
      </c>
      <c r="H358" s="11"/>
      <c r="I358" s="11">
        <v>107</v>
      </c>
      <c r="J358" s="11">
        <v>154</v>
      </c>
      <c r="K358" s="12">
        <f t="shared" si="5"/>
        <v>8.6355140186915893</v>
      </c>
    </row>
    <row r="359" spans="1:11" x14ac:dyDescent="0.3">
      <c r="A359" s="9">
        <v>363</v>
      </c>
      <c r="B359" t="s">
        <v>413</v>
      </c>
      <c r="C359" s="10">
        <v>31115</v>
      </c>
      <c r="D359" t="s">
        <v>3</v>
      </c>
      <c r="E359" s="11">
        <v>2352</v>
      </c>
      <c r="F359" s="11">
        <v>2864</v>
      </c>
      <c r="G359" s="12">
        <v>22.551181102000001</v>
      </c>
      <c r="H359" s="11">
        <v>121.768707483</v>
      </c>
      <c r="K359" s="12" t="str">
        <f t="shared" si="5"/>
        <v/>
      </c>
    </row>
    <row r="360" spans="1:11" x14ac:dyDescent="0.3">
      <c r="A360" s="9">
        <v>364</v>
      </c>
      <c r="B360" t="s">
        <v>414</v>
      </c>
      <c r="C360" s="10">
        <v>33280</v>
      </c>
      <c r="D360" t="s">
        <v>3</v>
      </c>
      <c r="E360" s="11">
        <v>160</v>
      </c>
      <c r="F360" s="11">
        <v>164</v>
      </c>
      <c r="G360" s="12">
        <v>16.399999999999999</v>
      </c>
      <c r="H360" s="11">
        <v>102.5</v>
      </c>
      <c r="K360" s="12" t="str">
        <f t="shared" si="5"/>
        <v/>
      </c>
    </row>
    <row r="361" spans="1:11" x14ac:dyDescent="0.3">
      <c r="A361" s="9">
        <v>365</v>
      </c>
      <c r="B361" t="s">
        <v>415</v>
      </c>
      <c r="C361" s="10">
        <v>31173</v>
      </c>
      <c r="D361" t="s">
        <v>3</v>
      </c>
      <c r="E361" s="11">
        <v>12</v>
      </c>
      <c r="F361" s="11">
        <v>7</v>
      </c>
      <c r="G361" s="12">
        <v>3.5</v>
      </c>
      <c r="H361" s="11">
        <v>58.333333332999999</v>
      </c>
      <c r="I361" s="11">
        <v>311</v>
      </c>
      <c r="J361" s="11">
        <v>472</v>
      </c>
      <c r="K361" s="12">
        <f t="shared" si="5"/>
        <v>9.106109324758842</v>
      </c>
    </row>
    <row r="362" spans="1:11" x14ac:dyDescent="0.3">
      <c r="A362" s="9">
        <v>366</v>
      </c>
      <c r="B362" t="s">
        <v>416</v>
      </c>
      <c r="C362" s="10">
        <v>32552</v>
      </c>
      <c r="D362" t="s">
        <v>3</v>
      </c>
      <c r="E362" s="11">
        <v>20</v>
      </c>
      <c r="F362" s="11">
        <v>17</v>
      </c>
      <c r="G362" s="12">
        <v>8.5</v>
      </c>
      <c r="H362" s="11">
        <v>85</v>
      </c>
      <c r="I362" s="11">
        <v>200</v>
      </c>
      <c r="J362" s="11">
        <v>273</v>
      </c>
      <c r="K362" s="12">
        <f t="shared" si="5"/>
        <v>8.19</v>
      </c>
    </row>
    <row r="363" spans="1:11" x14ac:dyDescent="0.3">
      <c r="A363" s="9">
        <v>367</v>
      </c>
      <c r="B363" t="s">
        <v>417</v>
      </c>
      <c r="C363" s="10">
        <v>30657</v>
      </c>
      <c r="D363" t="s">
        <v>3</v>
      </c>
      <c r="E363" s="11">
        <v>415</v>
      </c>
      <c r="F363" s="11">
        <v>505</v>
      </c>
      <c r="G363" s="12">
        <v>22.954545455000002</v>
      </c>
      <c r="H363" s="11">
        <v>121.686746988</v>
      </c>
      <c r="I363" s="11">
        <v>153</v>
      </c>
      <c r="J363" s="11">
        <v>207</v>
      </c>
      <c r="K363" s="12">
        <f t="shared" si="5"/>
        <v>8.117647058823529</v>
      </c>
    </row>
    <row r="364" spans="1:11" x14ac:dyDescent="0.3">
      <c r="A364" s="9">
        <v>368</v>
      </c>
      <c r="B364" t="s">
        <v>418</v>
      </c>
      <c r="C364" s="10">
        <v>27906</v>
      </c>
      <c r="D364" t="s">
        <v>6</v>
      </c>
      <c r="E364" s="11">
        <v>156</v>
      </c>
      <c r="F364" s="11">
        <v>203</v>
      </c>
      <c r="G364" s="12">
        <v>50.75</v>
      </c>
      <c r="H364" s="11">
        <v>130.12820512799999</v>
      </c>
      <c r="I364" s="11">
        <v>90</v>
      </c>
      <c r="J364" s="11">
        <v>101</v>
      </c>
      <c r="K364" s="12">
        <f t="shared" si="5"/>
        <v>6.7333333333333334</v>
      </c>
    </row>
    <row r="365" spans="1:11" x14ac:dyDescent="0.3">
      <c r="A365" s="9">
        <v>369</v>
      </c>
      <c r="B365" t="s">
        <v>419</v>
      </c>
      <c r="C365" s="10">
        <v>34097</v>
      </c>
      <c r="D365" t="s">
        <v>4</v>
      </c>
      <c r="E365" s="11">
        <v>55</v>
      </c>
      <c r="F365" s="11">
        <v>77</v>
      </c>
      <c r="G365" s="12">
        <v>12.833333333000001</v>
      </c>
      <c r="H365" s="11">
        <v>140</v>
      </c>
      <c r="I365" s="11">
        <v>379</v>
      </c>
      <c r="J365" s="11">
        <v>525</v>
      </c>
      <c r="K365" s="12">
        <f t="shared" si="5"/>
        <v>8.3113456464379958</v>
      </c>
    </row>
    <row r="366" spans="1:11" x14ac:dyDescent="0.3">
      <c r="A366" s="9">
        <v>370</v>
      </c>
      <c r="B366" t="s">
        <v>420</v>
      </c>
      <c r="C366" s="10">
        <v>33182</v>
      </c>
      <c r="D366" t="s">
        <v>3</v>
      </c>
      <c r="E366" s="11">
        <v>39</v>
      </c>
      <c r="F366" s="11">
        <v>24</v>
      </c>
      <c r="G366" s="12">
        <v>3.4285714289999998</v>
      </c>
      <c r="H366" s="11">
        <v>61.538461538</v>
      </c>
      <c r="I366" s="11">
        <v>849</v>
      </c>
      <c r="J366" s="11">
        <v>1202</v>
      </c>
      <c r="K366" s="12">
        <f t="shared" si="5"/>
        <v>8.4946996466431095</v>
      </c>
    </row>
    <row r="367" spans="1:11" x14ac:dyDescent="0.3">
      <c r="A367" s="9">
        <v>371</v>
      </c>
      <c r="B367" t="s">
        <v>421</v>
      </c>
      <c r="C367" s="10">
        <v>32624</v>
      </c>
      <c r="D367" t="s">
        <v>3</v>
      </c>
      <c r="E367" s="11">
        <v>2</v>
      </c>
      <c r="F367" s="11">
        <v>1</v>
      </c>
      <c r="H367" s="11">
        <v>50</v>
      </c>
      <c r="I367" s="11">
        <v>31</v>
      </c>
      <c r="J367" s="11">
        <v>42</v>
      </c>
      <c r="K367" s="12">
        <f t="shared" si="5"/>
        <v>8.129032258064516</v>
      </c>
    </row>
    <row r="368" spans="1:11" x14ac:dyDescent="0.3">
      <c r="A368" s="9">
        <v>372</v>
      </c>
      <c r="B368" t="s">
        <v>422</v>
      </c>
      <c r="C368" s="10">
        <v>32501</v>
      </c>
      <c r="D368" t="s">
        <v>3</v>
      </c>
      <c r="E368" s="11">
        <v>519</v>
      </c>
      <c r="F368" s="11">
        <v>584</v>
      </c>
      <c r="G368" s="12">
        <v>11.68</v>
      </c>
      <c r="H368" s="11">
        <v>112.524084778</v>
      </c>
      <c r="I368" s="11">
        <v>3157</v>
      </c>
      <c r="J368" s="11">
        <v>4153</v>
      </c>
      <c r="K368" s="12">
        <f t="shared" si="5"/>
        <v>7.8929363319607226</v>
      </c>
    </row>
    <row r="369" spans="1:11" x14ac:dyDescent="0.3">
      <c r="A369" s="9">
        <v>373</v>
      </c>
      <c r="B369" t="s">
        <v>423</v>
      </c>
      <c r="C369" s="10">
        <v>31660</v>
      </c>
      <c r="D369" t="s">
        <v>3</v>
      </c>
      <c r="E369" s="11">
        <v>44</v>
      </c>
      <c r="F369" s="11">
        <v>16</v>
      </c>
      <c r="G369" s="12">
        <v>1.6</v>
      </c>
      <c r="H369" s="11">
        <v>36.363636364000001</v>
      </c>
      <c r="I369" s="11">
        <v>1945</v>
      </c>
      <c r="J369" s="11">
        <v>2399</v>
      </c>
      <c r="K369" s="12">
        <f t="shared" si="5"/>
        <v>7.4005141388174804</v>
      </c>
    </row>
    <row r="370" spans="1:11" x14ac:dyDescent="0.3">
      <c r="A370" s="9">
        <v>374</v>
      </c>
      <c r="B370" t="s">
        <v>424</v>
      </c>
      <c r="C370" s="10">
        <v>32084</v>
      </c>
      <c r="D370" t="s">
        <v>3</v>
      </c>
      <c r="E370" s="11">
        <v>91</v>
      </c>
      <c r="F370" s="11">
        <v>92</v>
      </c>
      <c r="G370" s="12">
        <v>11.5</v>
      </c>
      <c r="H370" s="11">
        <v>101.098901099</v>
      </c>
      <c r="K370" s="12" t="str">
        <f t="shared" si="5"/>
        <v/>
      </c>
    </row>
    <row r="371" spans="1:11" x14ac:dyDescent="0.3">
      <c r="A371" s="9">
        <v>375</v>
      </c>
      <c r="B371" t="s">
        <v>425</v>
      </c>
      <c r="C371" s="10">
        <v>33354</v>
      </c>
      <c r="D371" t="s">
        <v>4</v>
      </c>
      <c r="E371" s="11">
        <v>12</v>
      </c>
      <c r="F371" s="11">
        <v>6</v>
      </c>
      <c r="G371" s="12">
        <v>6</v>
      </c>
      <c r="H371" s="11">
        <v>50</v>
      </c>
      <c r="K371" s="12" t="str">
        <f t="shared" si="5"/>
        <v/>
      </c>
    </row>
    <row r="372" spans="1:11" x14ac:dyDescent="0.3">
      <c r="A372" s="9">
        <v>376</v>
      </c>
      <c r="B372" t="s">
        <v>426</v>
      </c>
      <c r="C372" s="10">
        <v>26214</v>
      </c>
      <c r="D372" t="s">
        <v>3</v>
      </c>
      <c r="E372" s="11">
        <v>39</v>
      </c>
      <c r="F372" s="11">
        <v>18</v>
      </c>
      <c r="G372" s="12">
        <v>18</v>
      </c>
      <c r="H372" s="11">
        <v>46.153846154</v>
      </c>
      <c r="I372" s="11">
        <v>674</v>
      </c>
      <c r="J372" s="11">
        <v>866</v>
      </c>
      <c r="K372" s="12">
        <f t="shared" si="5"/>
        <v>7.7091988130563802</v>
      </c>
    </row>
    <row r="373" spans="1:11" x14ac:dyDescent="0.3">
      <c r="A373" s="9">
        <v>377</v>
      </c>
      <c r="B373" t="s">
        <v>427</v>
      </c>
      <c r="C373" s="10">
        <v>33955</v>
      </c>
      <c r="D373" t="s">
        <v>7</v>
      </c>
      <c r="E373" s="11">
        <v>1109</v>
      </c>
      <c r="F373" s="11">
        <v>1478</v>
      </c>
      <c r="G373" s="12">
        <v>32.130434782999998</v>
      </c>
      <c r="H373" s="11">
        <v>133.27321911600001</v>
      </c>
      <c r="K373" s="12" t="str">
        <f t="shared" si="5"/>
        <v/>
      </c>
    </row>
    <row r="374" spans="1:11" x14ac:dyDescent="0.3">
      <c r="A374" s="9">
        <v>378</v>
      </c>
      <c r="B374" t="s">
        <v>428</v>
      </c>
      <c r="C374" s="10">
        <v>31672</v>
      </c>
      <c r="D374" t="s">
        <v>3</v>
      </c>
      <c r="E374" s="11">
        <v>336</v>
      </c>
      <c r="F374" s="11">
        <v>376</v>
      </c>
      <c r="G374" s="12">
        <v>11.393939394</v>
      </c>
      <c r="H374" s="11">
        <v>111.904761905</v>
      </c>
      <c r="I374" s="11">
        <v>3016</v>
      </c>
      <c r="J374" s="11">
        <v>3391</v>
      </c>
      <c r="K374" s="12">
        <f t="shared" si="5"/>
        <v>6.7460212201591512</v>
      </c>
    </row>
    <row r="375" spans="1:11" x14ac:dyDescent="0.3">
      <c r="A375" s="9">
        <v>379</v>
      </c>
      <c r="B375" t="s">
        <v>429</v>
      </c>
      <c r="C375" s="10">
        <v>29150</v>
      </c>
      <c r="D375" t="s">
        <v>3</v>
      </c>
      <c r="E375" s="11">
        <v>284</v>
      </c>
      <c r="F375" s="11">
        <v>342</v>
      </c>
      <c r="G375" s="12">
        <v>11.793103448</v>
      </c>
      <c r="H375" s="11">
        <v>120.422535211</v>
      </c>
      <c r="I375" s="11">
        <v>1661</v>
      </c>
      <c r="J375" s="11">
        <v>2059</v>
      </c>
      <c r="K375" s="12">
        <f t="shared" si="5"/>
        <v>7.4376881396748953</v>
      </c>
    </row>
    <row r="376" spans="1:11" x14ac:dyDescent="0.3">
      <c r="A376" s="9">
        <v>380</v>
      </c>
      <c r="B376" t="s">
        <v>430</v>
      </c>
      <c r="E376" s="11">
        <v>17</v>
      </c>
      <c r="F376" s="11">
        <v>7</v>
      </c>
      <c r="G376" s="12">
        <v>3.5</v>
      </c>
      <c r="H376" s="11">
        <v>41.176470588000001</v>
      </c>
      <c r="K376" s="12" t="str">
        <f t="shared" si="5"/>
        <v/>
      </c>
    </row>
    <row r="377" spans="1:11" x14ac:dyDescent="0.3">
      <c r="A377" s="9">
        <v>381</v>
      </c>
      <c r="B377" t="s">
        <v>431</v>
      </c>
      <c r="C377" s="10">
        <v>32058</v>
      </c>
      <c r="D377" t="s">
        <v>3</v>
      </c>
      <c r="E377" s="11">
        <v>17</v>
      </c>
      <c r="F377" s="11">
        <v>19</v>
      </c>
      <c r="G377" s="12">
        <v>6.3333333329999997</v>
      </c>
      <c r="H377" s="11">
        <v>111.764705882</v>
      </c>
      <c r="K377" s="12" t="str">
        <f t="shared" si="5"/>
        <v/>
      </c>
    </row>
    <row r="378" spans="1:11" x14ac:dyDescent="0.3">
      <c r="A378" s="9">
        <v>382</v>
      </c>
      <c r="B378" t="s">
        <v>432</v>
      </c>
      <c r="C378" s="10">
        <v>32923</v>
      </c>
      <c r="D378" t="s">
        <v>3</v>
      </c>
      <c r="E378" s="11">
        <v>135</v>
      </c>
      <c r="F378" s="11">
        <v>153</v>
      </c>
      <c r="G378" s="12">
        <v>21.857142856999999</v>
      </c>
      <c r="H378" s="11">
        <v>113.333333333</v>
      </c>
      <c r="I378" s="11">
        <v>513</v>
      </c>
      <c r="J378" s="11">
        <v>655</v>
      </c>
      <c r="K378" s="12">
        <f t="shared" si="5"/>
        <v>7.6608187134502925</v>
      </c>
    </row>
    <row r="379" spans="1:11" x14ac:dyDescent="0.3">
      <c r="A379" s="9">
        <v>383</v>
      </c>
      <c r="B379" t="s">
        <v>433</v>
      </c>
      <c r="C379" s="10">
        <v>26675</v>
      </c>
      <c r="D379" t="s">
        <v>3</v>
      </c>
      <c r="E379" s="11">
        <v>1877</v>
      </c>
      <c r="F379" s="11">
        <v>2174</v>
      </c>
      <c r="G379" s="12">
        <v>28.233766234000001</v>
      </c>
      <c r="H379" s="11">
        <v>115.82312200299999</v>
      </c>
      <c r="K379" s="12" t="str">
        <f t="shared" si="5"/>
        <v/>
      </c>
    </row>
    <row r="380" spans="1:11" x14ac:dyDescent="0.3">
      <c r="A380" s="9">
        <v>384</v>
      </c>
      <c r="B380" t="s">
        <v>434</v>
      </c>
      <c r="C380" s="10">
        <v>30356</v>
      </c>
      <c r="D380" t="s">
        <v>7</v>
      </c>
      <c r="E380" s="11">
        <v>169</v>
      </c>
      <c r="F380" s="11">
        <v>159</v>
      </c>
      <c r="G380" s="12">
        <v>19.875</v>
      </c>
      <c r="H380" s="11">
        <v>94.082840236999999</v>
      </c>
      <c r="I380" s="11">
        <v>372</v>
      </c>
      <c r="J380" s="11">
        <v>558</v>
      </c>
      <c r="K380" s="12">
        <f t="shared" si="5"/>
        <v>9</v>
      </c>
    </row>
    <row r="381" spans="1:11" x14ac:dyDescent="0.3">
      <c r="A381" s="9">
        <v>385</v>
      </c>
      <c r="B381" t="s">
        <v>435</v>
      </c>
      <c r="C381" s="10">
        <v>31370</v>
      </c>
      <c r="D381" t="s">
        <v>3</v>
      </c>
      <c r="E381" s="11">
        <v>6</v>
      </c>
      <c r="F381" s="11">
        <v>3</v>
      </c>
      <c r="G381" s="12">
        <v>3</v>
      </c>
      <c r="H381" s="11">
        <v>50</v>
      </c>
      <c r="I381" s="11">
        <v>36</v>
      </c>
      <c r="J381" s="11">
        <v>65</v>
      </c>
      <c r="K381" s="12">
        <f t="shared" si="5"/>
        <v>10.833333333333334</v>
      </c>
    </row>
    <row r="382" spans="1:11" x14ac:dyDescent="0.3">
      <c r="A382" s="9">
        <v>386</v>
      </c>
      <c r="B382" t="s">
        <v>436</v>
      </c>
      <c r="E382" s="11">
        <v>126</v>
      </c>
      <c r="F382" s="11">
        <v>161</v>
      </c>
      <c r="G382" s="12">
        <v>40.25</v>
      </c>
      <c r="H382" s="11">
        <v>127.777777778</v>
      </c>
      <c r="I382" s="11">
        <v>84</v>
      </c>
      <c r="J382" s="11">
        <v>121</v>
      </c>
      <c r="K382" s="12">
        <f t="shared" si="5"/>
        <v>8.6428571428571423</v>
      </c>
    </row>
    <row r="383" spans="1:11" x14ac:dyDescent="0.3">
      <c r="A383" s="9">
        <v>387</v>
      </c>
      <c r="B383" t="s">
        <v>437</v>
      </c>
      <c r="C383" s="10">
        <v>30970</v>
      </c>
      <c r="D383" t="s">
        <v>94</v>
      </c>
      <c r="E383" s="11">
        <v>49</v>
      </c>
      <c r="F383" s="11">
        <v>51</v>
      </c>
      <c r="G383" s="12">
        <v>10.199999999999999</v>
      </c>
      <c r="H383" s="11">
        <v>104.081632653</v>
      </c>
      <c r="I383" s="11">
        <v>278</v>
      </c>
      <c r="J383" s="11">
        <v>319</v>
      </c>
      <c r="K383" s="12">
        <f t="shared" si="5"/>
        <v>6.8848920863309351</v>
      </c>
    </row>
    <row r="384" spans="1:11" x14ac:dyDescent="0.3">
      <c r="A384" s="9">
        <v>388</v>
      </c>
      <c r="B384" t="s">
        <v>438</v>
      </c>
      <c r="E384" s="11">
        <v>4</v>
      </c>
      <c r="F384" s="11">
        <v>5</v>
      </c>
      <c r="H384" s="11">
        <v>125</v>
      </c>
      <c r="I384" s="11">
        <v>27</v>
      </c>
      <c r="J384" s="11">
        <v>45</v>
      </c>
      <c r="K384" s="12">
        <f t="shared" si="5"/>
        <v>10</v>
      </c>
    </row>
    <row r="385" spans="1:11" x14ac:dyDescent="0.3">
      <c r="A385" s="9">
        <v>389</v>
      </c>
      <c r="B385" t="s">
        <v>439</v>
      </c>
      <c r="C385" s="10">
        <v>29600</v>
      </c>
      <c r="D385" t="s">
        <v>3</v>
      </c>
      <c r="E385" s="11">
        <v>231</v>
      </c>
      <c r="F385" s="11">
        <v>270</v>
      </c>
      <c r="G385" s="12">
        <v>16.875</v>
      </c>
      <c r="H385" s="11">
        <v>116.883116883</v>
      </c>
      <c r="I385" s="11">
        <v>144</v>
      </c>
      <c r="J385" s="11">
        <v>233</v>
      </c>
      <c r="K385" s="12">
        <f t="shared" si="5"/>
        <v>9.7083333333333339</v>
      </c>
    </row>
    <row r="386" spans="1:11" x14ac:dyDescent="0.3">
      <c r="A386" s="9">
        <v>390</v>
      </c>
      <c r="B386" t="s">
        <v>440</v>
      </c>
      <c r="C386" s="10">
        <v>31897</v>
      </c>
      <c r="D386" t="s">
        <v>3</v>
      </c>
      <c r="E386" s="11">
        <v>75</v>
      </c>
      <c r="F386" s="11">
        <v>66</v>
      </c>
      <c r="G386" s="12">
        <v>6</v>
      </c>
      <c r="H386" s="11">
        <v>88</v>
      </c>
      <c r="I386" s="11">
        <v>935</v>
      </c>
      <c r="J386" s="11">
        <v>1100</v>
      </c>
      <c r="K386" s="12">
        <f t="shared" ref="K386:K449" si="6">IF(J386&lt;&gt;0,J386/(I386/6),"")</f>
        <v>7.0588235294117645</v>
      </c>
    </row>
    <row r="387" spans="1:11" x14ac:dyDescent="0.3">
      <c r="A387" s="9">
        <v>391</v>
      </c>
      <c r="B387" t="s">
        <v>441</v>
      </c>
      <c r="C387" s="10">
        <v>33113</v>
      </c>
      <c r="D387" t="s">
        <v>3</v>
      </c>
      <c r="E387" s="11">
        <v>23</v>
      </c>
      <c r="F387" s="11">
        <v>19</v>
      </c>
      <c r="G387" s="12">
        <v>9.5</v>
      </c>
      <c r="H387" s="11">
        <v>82.608695651999994</v>
      </c>
      <c r="I387" s="11">
        <v>130</v>
      </c>
      <c r="J387" s="11">
        <v>217</v>
      </c>
      <c r="K387" s="12">
        <f t="shared" si="6"/>
        <v>10.015384615384615</v>
      </c>
    </row>
    <row r="388" spans="1:11" x14ac:dyDescent="0.3">
      <c r="A388" s="9">
        <v>392</v>
      </c>
      <c r="B388" t="s">
        <v>442</v>
      </c>
      <c r="E388" s="11">
        <v>65</v>
      </c>
      <c r="F388" s="11">
        <v>66</v>
      </c>
      <c r="G388" s="12">
        <v>11</v>
      </c>
      <c r="H388" s="11">
        <v>101.53846153800001</v>
      </c>
      <c r="K388" s="12" t="str">
        <f t="shared" si="6"/>
        <v/>
      </c>
    </row>
    <row r="389" spans="1:11" x14ac:dyDescent="0.3">
      <c r="A389" s="9">
        <v>393</v>
      </c>
      <c r="B389" t="s">
        <v>443</v>
      </c>
      <c r="C389" s="10">
        <v>34109</v>
      </c>
      <c r="D389" t="s">
        <v>3</v>
      </c>
      <c r="E389" s="11">
        <v>89</v>
      </c>
      <c r="F389" s="11">
        <v>115</v>
      </c>
      <c r="G389" s="12">
        <v>16.428571429000002</v>
      </c>
      <c r="H389" s="11">
        <v>129.21348314599999</v>
      </c>
      <c r="I389" s="11">
        <v>301</v>
      </c>
      <c r="J389" s="11">
        <v>361</v>
      </c>
      <c r="K389" s="12">
        <f t="shared" si="6"/>
        <v>7.1960132890365456</v>
      </c>
    </row>
    <row r="390" spans="1:11" x14ac:dyDescent="0.3">
      <c r="A390" s="9">
        <v>394</v>
      </c>
      <c r="B390" t="s">
        <v>444</v>
      </c>
      <c r="C390" s="10">
        <v>30724</v>
      </c>
      <c r="D390" t="s">
        <v>3</v>
      </c>
      <c r="E390" s="11">
        <v>271</v>
      </c>
      <c r="F390" s="11">
        <v>310</v>
      </c>
      <c r="G390" s="12">
        <v>11.923076923</v>
      </c>
      <c r="H390" s="11">
        <v>114.391143911</v>
      </c>
      <c r="I390" s="11">
        <v>2186</v>
      </c>
      <c r="J390" s="11">
        <v>3043</v>
      </c>
      <c r="K390" s="12">
        <f t="shared" si="6"/>
        <v>8.3522415370539811</v>
      </c>
    </row>
    <row r="391" spans="1:11" x14ac:dyDescent="0.3">
      <c r="A391" s="9">
        <v>395</v>
      </c>
      <c r="B391" t="s">
        <v>445</v>
      </c>
      <c r="C391" s="10">
        <v>32483</v>
      </c>
      <c r="D391" t="s">
        <v>3</v>
      </c>
      <c r="E391" s="11">
        <v>1567</v>
      </c>
      <c r="F391" s="11">
        <v>1931</v>
      </c>
      <c r="G391" s="12">
        <v>23.265060241</v>
      </c>
      <c r="H391" s="11">
        <v>123.229100191</v>
      </c>
      <c r="I391" s="11">
        <v>2541</v>
      </c>
      <c r="J391" s="11">
        <v>3221</v>
      </c>
      <c r="K391" s="12">
        <f t="shared" si="6"/>
        <v>7.6056670602125145</v>
      </c>
    </row>
    <row r="392" spans="1:11" x14ac:dyDescent="0.3">
      <c r="A392" s="9">
        <v>396</v>
      </c>
      <c r="B392" t="s">
        <v>446</v>
      </c>
      <c r="C392" s="10">
        <v>31210</v>
      </c>
      <c r="D392" t="s">
        <v>3</v>
      </c>
      <c r="H392" s="11"/>
      <c r="I392" s="11">
        <v>6</v>
      </c>
      <c r="J392" s="11">
        <v>11</v>
      </c>
      <c r="K392" s="12">
        <f t="shared" si="6"/>
        <v>11</v>
      </c>
    </row>
    <row r="393" spans="1:11" x14ac:dyDescent="0.3">
      <c r="A393" s="9">
        <v>397</v>
      </c>
      <c r="B393" t="s">
        <v>447</v>
      </c>
      <c r="E393" s="11">
        <v>553</v>
      </c>
      <c r="F393" s="11">
        <v>761</v>
      </c>
      <c r="G393" s="12">
        <v>28.185185185000002</v>
      </c>
      <c r="H393" s="11">
        <v>137.61301989099999</v>
      </c>
      <c r="I393" s="11">
        <v>6</v>
      </c>
      <c r="J393" s="11">
        <v>12</v>
      </c>
      <c r="K393" s="12">
        <f t="shared" si="6"/>
        <v>12</v>
      </c>
    </row>
    <row r="394" spans="1:11" x14ac:dyDescent="0.3">
      <c r="A394" s="9">
        <v>398</v>
      </c>
      <c r="B394" t="s">
        <v>448</v>
      </c>
      <c r="E394" s="11">
        <v>63</v>
      </c>
      <c r="F394" s="11">
        <v>105</v>
      </c>
      <c r="G394" s="12">
        <v>8.75</v>
      </c>
      <c r="H394" s="11">
        <v>166.66666666699999</v>
      </c>
      <c r="I394" s="11">
        <v>1106</v>
      </c>
      <c r="J394" s="11">
        <v>1257</v>
      </c>
      <c r="K394" s="12">
        <f t="shared" si="6"/>
        <v>6.8191681735985528</v>
      </c>
    </row>
    <row r="395" spans="1:11" x14ac:dyDescent="0.3">
      <c r="A395" s="9">
        <v>399</v>
      </c>
      <c r="B395" t="s">
        <v>449</v>
      </c>
      <c r="E395" s="11">
        <v>13</v>
      </c>
      <c r="F395" s="11">
        <v>15</v>
      </c>
      <c r="G395" s="12">
        <v>7.5</v>
      </c>
      <c r="H395" s="11">
        <v>115.384615385</v>
      </c>
      <c r="I395" s="11">
        <v>333</v>
      </c>
      <c r="J395" s="11">
        <v>376</v>
      </c>
      <c r="K395" s="12">
        <f t="shared" si="6"/>
        <v>6.7747747747747749</v>
      </c>
    </row>
    <row r="396" spans="1:11" x14ac:dyDescent="0.3">
      <c r="A396" s="9">
        <v>400</v>
      </c>
      <c r="B396" t="s">
        <v>450</v>
      </c>
      <c r="C396" s="10">
        <v>32156</v>
      </c>
      <c r="D396" t="s">
        <v>7</v>
      </c>
      <c r="E396" s="11">
        <v>73</v>
      </c>
      <c r="F396" s="11">
        <v>83</v>
      </c>
      <c r="G396" s="12">
        <v>13.833333333000001</v>
      </c>
      <c r="H396" s="11">
        <v>113.69863013699999</v>
      </c>
      <c r="K396" s="12" t="str">
        <f t="shared" si="6"/>
        <v/>
      </c>
    </row>
    <row r="397" spans="1:11" x14ac:dyDescent="0.3">
      <c r="A397" s="9">
        <v>401</v>
      </c>
      <c r="B397" t="s">
        <v>451</v>
      </c>
      <c r="C397" s="10">
        <v>31047</v>
      </c>
      <c r="D397" t="s">
        <v>7</v>
      </c>
      <c r="E397" s="11">
        <v>141</v>
      </c>
      <c r="F397" s="11">
        <v>159</v>
      </c>
      <c r="G397" s="12">
        <v>14.454545455</v>
      </c>
      <c r="H397" s="11">
        <v>112.76595744700001</v>
      </c>
      <c r="I397" s="11">
        <v>455</v>
      </c>
      <c r="J397" s="11">
        <v>515</v>
      </c>
      <c r="K397" s="12">
        <f t="shared" si="6"/>
        <v>6.791208791208792</v>
      </c>
    </row>
    <row r="398" spans="1:11" x14ac:dyDescent="0.3">
      <c r="A398" s="9">
        <v>402</v>
      </c>
      <c r="B398" t="s">
        <v>452</v>
      </c>
      <c r="C398" s="10">
        <v>33636</v>
      </c>
      <c r="D398" t="s">
        <v>3</v>
      </c>
      <c r="E398" s="11">
        <v>2</v>
      </c>
      <c r="F398" s="11">
        <v>2</v>
      </c>
      <c r="H398" s="11">
        <v>100</v>
      </c>
      <c r="I398" s="11">
        <v>37</v>
      </c>
      <c r="J398" s="11">
        <v>63</v>
      </c>
      <c r="K398" s="12">
        <f t="shared" si="6"/>
        <v>10.216216216216216</v>
      </c>
    </row>
    <row r="399" spans="1:11" x14ac:dyDescent="0.3">
      <c r="A399" s="9">
        <v>403</v>
      </c>
      <c r="B399" t="s">
        <v>453</v>
      </c>
      <c r="C399" s="10">
        <v>31897</v>
      </c>
      <c r="D399" t="s">
        <v>3</v>
      </c>
      <c r="E399" s="11">
        <v>3742</v>
      </c>
      <c r="F399" s="11">
        <v>4902</v>
      </c>
      <c r="G399" s="12">
        <v>30.447204969000001</v>
      </c>
      <c r="H399" s="11">
        <v>130.99946552599999</v>
      </c>
      <c r="I399" s="11">
        <v>342</v>
      </c>
      <c r="J399" s="11">
        <v>449</v>
      </c>
      <c r="K399" s="12">
        <f t="shared" si="6"/>
        <v>7.8771929824561404</v>
      </c>
    </row>
    <row r="400" spans="1:11" x14ac:dyDescent="0.3">
      <c r="A400" s="9">
        <v>404</v>
      </c>
      <c r="B400" t="s">
        <v>454</v>
      </c>
      <c r="C400" s="10">
        <v>29139</v>
      </c>
      <c r="D400" t="s">
        <v>4</v>
      </c>
      <c r="E400" s="11">
        <v>111</v>
      </c>
      <c r="F400" s="11">
        <v>117</v>
      </c>
      <c r="G400" s="12">
        <v>9.75</v>
      </c>
      <c r="H400" s="11">
        <v>105.405405405</v>
      </c>
      <c r="I400" s="11">
        <v>865</v>
      </c>
      <c r="J400" s="11">
        <v>1085</v>
      </c>
      <c r="K400" s="12">
        <f t="shared" si="6"/>
        <v>7.5260115606936422</v>
      </c>
    </row>
    <row r="401" spans="1:11" x14ac:dyDescent="0.3">
      <c r="A401" s="9">
        <v>405</v>
      </c>
      <c r="B401" t="s">
        <v>455</v>
      </c>
      <c r="C401" s="10">
        <v>29071</v>
      </c>
      <c r="D401" t="s">
        <v>7</v>
      </c>
      <c r="E401" s="11">
        <v>29</v>
      </c>
      <c r="F401" s="11">
        <v>32</v>
      </c>
      <c r="G401" s="12">
        <v>10.666666666999999</v>
      </c>
      <c r="H401" s="11">
        <v>110.34482758599999</v>
      </c>
      <c r="I401" s="11">
        <v>48</v>
      </c>
      <c r="J401" s="11">
        <v>70</v>
      </c>
      <c r="K401" s="12">
        <f t="shared" si="6"/>
        <v>8.75</v>
      </c>
    </row>
    <row r="402" spans="1:11" x14ac:dyDescent="0.3">
      <c r="A402" s="9">
        <v>406</v>
      </c>
      <c r="B402" t="s">
        <v>456</v>
      </c>
      <c r="C402" s="10">
        <v>30183</v>
      </c>
      <c r="D402" t="s">
        <v>4</v>
      </c>
      <c r="E402" s="11">
        <v>102</v>
      </c>
      <c r="F402" s="11">
        <v>103</v>
      </c>
      <c r="G402" s="12">
        <v>14.714285714000001</v>
      </c>
      <c r="H402" s="11">
        <v>100.980392157</v>
      </c>
      <c r="K402" s="12" t="str">
        <f t="shared" si="6"/>
        <v/>
      </c>
    </row>
    <row r="403" spans="1:11" x14ac:dyDescent="0.3">
      <c r="A403" s="9">
        <v>407</v>
      </c>
      <c r="B403" t="s">
        <v>457</v>
      </c>
      <c r="C403" s="10">
        <v>29402</v>
      </c>
      <c r="D403" t="s">
        <v>458</v>
      </c>
      <c r="E403" s="11">
        <v>234</v>
      </c>
      <c r="F403" s="11">
        <v>326</v>
      </c>
      <c r="G403" s="12">
        <v>19.176470588000001</v>
      </c>
      <c r="H403" s="11">
        <v>139.31623931600001</v>
      </c>
      <c r="I403" s="11">
        <v>83</v>
      </c>
      <c r="J403" s="11">
        <v>94</v>
      </c>
      <c r="K403" s="12">
        <f t="shared" si="6"/>
        <v>6.7951807228915664</v>
      </c>
    </row>
    <row r="404" spans="1:11" x14ac:dyDescent="0.3">
      <c r="A404" s="9">
        <v>408</v>
      </c>
      <c r="B404" t="s">
        <v>459</v>
      </c>
      <c r="C404" s="10">
        <v>31387</v>
      </c>
      <c r="D404" t="s">
        <v>3</v>
      </c>
      <c r="E404" s="11">
        <v>72</v>
      </c>
      <c r="F404" s="11">
        <v>52</v>
      </c>
      <c r="G404" s="12">
        <v>3.4666666670000001</v>
      </c>
      <c r="H404" s="11">
        <v>72.222222221999999</v>
      </c>
      <c r="I404" s="11">
        <v>1874</v>
      </c>
      <c r="J404" s="11">
        <v>2417</v>
      </c>
      <c r="K404" s="12">
        <f t="shared" si="6"/>
        <v>7.7385272145144084</v>
      </c>
    </row>
    <row r="405" spans="1:11" x14ac:dyDescent="0.3">
      <c r="A405" s="9">
        <v>409</v>
      </c>
      <c r="B405" t="s">
        <v>460</v>
      </c>
      <c r="C405" s="10">
        <v>31291</v>
      </c>
      <c r="D405" t="s">
        <v>3</v>
      </c>
      <c r="E405" s="11">
        <v>2</v>
      </c>
      <c r="F405" s="11">
        <v>0</v>
      </c>
      <c r="G405" s="12">
        <v>0</v>
      </c>
      <c r="H405" s="11">
        <v>0</v>
      </c>
      <c r="I405" s="11">
        <v>12</v>
      </c>
      <c r="J405" s="11">
        <v>35</v>
      </c>
      <c r="K405" s="12">
        <f t="shared" si="6"/>
        <v>17.5</v>
      </c>
    </row>
    <row r="406" spans="1:11" x14ac:dyDescent="0.3">
      <c r="A406" s="9">
        <v>410</v>
      </c>
      <c r="B406" t="s">
        <v>461</v>
      </c>
      <c r="C406" s="10">
        <v>28913</v>
      </c>
      <c r="D406" t="s">
        <v>3</v>
      </c>
      <c r="H406" s="11"/>
      <c r="I406" s="11">
        <v>12</v>
      </c>
      <c r="J406" s="11">
        <v>24</v>
      </c>
      <c r="K406" s="12">
        <f t="shared" si="6"/>
        <v>12</v>
      </c>
    </row>
    <row r="407" spans="1:11" x14ac:dyDescent="0.3">
      <c r="A407" s="9">
        <v>411</v>
      </c>
      <c r="B407" t="s">
        <v>462</v>
      </c>
      <c r="C407" s="10">
        <v>35707</v>
      </c>
      <c r="D407" t="s">
        <v>3</v>
      </c>
      <c r="E407" s="11">
        <v>1071</v>
      </c>
      <c r="F407" s="11">
        <v>1767</v>
      </c>
      <c r="G407" s="12">
        <v>36.061224490000001</v>
      </c>
      <c r="H407" s="11">
        <v>164.985994398</v>
      </c>
      <c r="K407" s="12" t="str">
        <f t="shared" si="6"/>
        <v/>
      </c>
    </row>
    <row r="408" spans="1:11" x14ac:dyDescent="0.3">
      <c r="A408" s="9">
        <v>412</v>
      </c>
      <c r="B408" t="s">
        <v>463</v>
      </c>
      <c r="C408" s="10">
        <v>28630</v>
      </c>
      <c r="D408" t="s">
        <v>3</v>
      </c>
      <c r="E408" s="11">
        <v>63</v>
      </c>
      <c r="F408" s="11">
        <v>67</v>
      </c>
      <c r="G408" s="12">
        <v>22.333333332999999</v>
      </c>
      <c r="H408" s="11">
        <v>106.349206349</v>
      </c>
      <c r="I408" s="11">
        <v>443</v>
      </c>
      <c r="J408" s="11">
        <v>538</v>
      </c>
      <c r="K408" s="12">
        <f t="shared" si="6"/>
        <v>7.2866817155756216</v>
      </c>
    </row>
    <row r="409" spans="1:11" x14ac:dyDescent="0.3">
      <c r="A409" s="9">
        <v>413</v>
      </c>
      <c r="B409" t="s">
        <v>464</v>
      </c>
      <c r="C409" s="10">
        <v>31658</v>
      </c>
      <c r="D409" t="s">
        <v>3</v>
      </c>
      <c r="E409" s="11">
        <v>18</v>
      </c>
      <c r="F409" s="11">
        <v>20</v>
      </c>
      <c r="G409" s="12">
        <v>20</v>
      </c>
      <c r="H409" s="11">
        <v>111.111111111</v>
      </c>
      <c r="I409" s="11">
        <v>144</v>
      </c>
      <c r="J409" s="11">
        <v>214</v>
      </c>
      <c r="K409" s="12">
        <f t="shared" si="6"/>
        <v>8.9166666666666661</v>
      </c>
    </row>
    <row r="410" spans="1:11" x14ac:dyDescent="0.3">
      <c r="A410" s="9">
        <v>414</v>
      </c>
      <c r="B410" t="s">
        <v>465</v>
      </c>
      <c r="C410" s="10">
        <v>32790</v>
      </c>
      <c r="D410" t="s">
        <v>7</v>
      </c>
      <c r="E410" s="11">
        <v>51</v>
      </c>
      <c r="F410" s="11">
        <v>53</v>
      </c>
      <c r="G410" s="12">
        <v>8.8333333330000006</v>
      </c>
      <c r="H410" s="11">
        <v>103.921568627</v>
      </c>
      <c r="K410" s="12" t="str">
        <f t="shared" si="6"/>
        <v/>
      </c>
    </row>
    <row r="411" spans="1:11" x14ac:dyDescent="0.3">
      <c r="A411" s="9">
        <v>415</v>
      </c>
      <c r="B411" t="s">
        <v>466</v>
      </c>
      <c r="C411" s="10">
        <v>29395</v>
      </c>
      <c r="D411" t="s">
        <v>94</v>
      </c>
      <c r="E411" s="11">
        <v>75</v>
      </c>
      <c r="F411" s="11">
        <v>73</v>
      </c>
      <c r="G411" s="12">
        <v>24.333333332999999</v>
      </c>
      <c r="H411" s="11">
        <v>97.333333332999999</v>
      </c>
      <c r="K411" s="12" t="str">
        <f t="shared" si="6"/>
        <v/>
      </c>
    </row>
    <row r="412" spans="1:11" x14ac:dyDescent="0.3">
      <c r="A412" s="9">
        <v>416</v>
      </c>
      <c r="B412" t="s">
        <v>467</v>
      </c>
      <c r="C412" s="10">
        <v>31171</v>
      </c>
      <c r="D412" t="s">
        <v>6</v>
      </c>
      <c r="E412" s="11">
        <v>452</v>
      </c>
      <c r="F412" s="11">
        <v>531</v>
      </c>
      <c r="G412" s="12">
        <v>27.947368421</v>
      </c>
      <c r="H412" s="11">
        <v>117.477876106</v>
      </c>
      <c r="I412" s="11">
        <v>213</v>
      </c>
      <c r="J412" s="11">
        <v>301</v>
      </c>
      <c r="K412" s="12">
        <f t="shared" si="6"/>
        <v>8.47887323943662</v>
      </c>
    </row>
    <row r="413" spans="1:11" x14ac:dyDescent="0.3">
      <c r="A413" s="9">
        <v>417</v>
      </c>
      <c r="B413" t="s">
        <v>468</v>
      </c>
      <c r="C413" s="10">
        <v>27810</v>
      </c>
      <c r="D413" t="s">
        <v>3</v>
      </c>
      <c r="E413" s="11">
        <v>8</v>
      </c>
      <c r="F413" s="11">
        <v>2</v>
      </c>
      <c r="G413" s="12">
        <v>2</v>
      </c>
      <c r="H413" s="11">
        <v>25</v>
      </c>
      <c r="I413" s="11">
        <v>6</v>
      </c>
      <c r="J413" s="11">
        <v>8</v>
      </c>
      <c r="K413" s="12">
        <f t="shared" si="6"/>
        <v>8</v>
      </c>
    </row>
    <row r="414" spans="1:11" x14ac:dyDescent="0.3">
      <c r="A414" s="9">
        <v>418</v>
      </c>
      <c r="B414" t="s">
        <v>469</v>
      </c>
      <c r="C414" s="10">
        <v>29512</v>
      </c>
      <c r="D414" t="s">
        <v>3</v>
      </c>
      <c r="E414" s="11">
        <v>2</v>
      </c>
      <c r="F414" s="11">
        <v>4</v>
      </c>
      <c r="H414" s="11">
        <v>200</v>
      </c>
      <c r="K414" s="12" t="str">
        <f t="shared" si="6"/>
        <v/>
      </c>
    </row>
    <row r="415" spans="1:11" x14ac:dyDescent="0.3">
      <c r="A415" s="9">
        <v>419</v>
      </c>
      <c r="B415" t="s">
        <v>470</v>
      </c>
      <c r="C415" s="10">
        <v>27382</v>
      </c>
      <c r="D415" t="s">
        <v>4</v>
      </c>
      <c r="E415" s="11">
        <v>127</v>
      </c>
      <c r="F415" s="11">
        <v>91</v>
      </c>
      <c r="G415" s="12">
        <v>11.375</v>
      </c>
      <c r="H415" s="11">
        <v>71.653543307000007</v>
      </c>
      <c r="K415" s="12" t="str">
        <f t="shared" si="6"/>
        <v/>
      </c>
    </row>
    <row r="416" spans="1:11" x14ac:dyDescent="0.3">
      <c r="A416" s="9">
        <v>420</v>
      </c>
      <c r="B416" t="s">
        <v>471</v>
      </c>
      <c r="C416" s="10">
        <v>31336</v>
      </c>
      <c r="D416" t="s">
        <v>3</v>
      </c>
      <c r="E416" s="11">
        <v>50</v>
      </c>
      <c r="F416" s="11">
        <v>50</v>
      </c>
      <c r="G416" s="12">
        <v>7.1428571429999996</v>
      </c>
      <c r="H416" s="11">
        <v>100</v>
      </c>
      <c r="I416" s="11">
        <v>97</v>
      </c>
      <c r="J416" s="11">
        <v>130</v>
      </c>
      <c r="K416" s="12">
        <f t="shared" si="6"/>
        <v>8.0412371134020617</v>
      </c>
    </row>
    <row r="417" spans="1:11" x14ac:dyDescent="0.3">
      <c r="A417" s="9">
        <v>422</v>
      </c>
      <c r="B417" t="s">
        <v>472</v>
      </c>
      <c r="C417" s="10">
        <v>31362</v>
      </c>
      <c r="D417" t="s">
        <v>3</v>
      </c>
      <c r="E417" s="11">
        <v>3381</v>
      </c>
      <c r="F417" s="11">
        <v>4420</v>
      </c>
      <c r="G417" s="12">
        <v>28.333333332999999</v>
      </c>
      <c r="H417" s="11">
        <v>130.73055309099999</v>
      </c>
      <c r="K417" s="12" t="str">
        <f t="shared" si="6"/>
        <v/>
      </c>
    </row>
    <row r="418" spans="1:11" x14ac:dyDescent="0.3">
      <c r="A418" s="9">
        <v>423</v>
      </c>
      <c r="B418" t="s">
        <v>473</v>
      </c>
      <c r="C418" s="10">
        <v>27923</v>
      </c>
      <c r="D418" t="s">
        <v>474</v>
      </c>
      <c r="H418" s="11"/>
      <c r="I418" s="11">
        <v>18</v>
      </c>
      <c r="J418" s="11">
        <v>33</v>
      </c>
      <c r="K418" s="12">
        <f t="shared" si="6"/>
        <v>11</v>
      </c>
    </row>
    <row r="419" spans="1:11" x14ac:dyDescent="0.3">
      <c r="A419" s="9">
        <v>424</v>
      </c>
      <c r="B419" t="s">
        <v>475</v>
      </c>
      <c r="C419" s="10">
        <v>31881</v>
      </c>
      <c r="D419" t="s">
        <v>3</v>
      </c>
      <c r="E419" s="11">
        <v>110</v>
      </c>
      <c r="F419" s="11">
        <v>136</v>
      </c>
      <c r="G419" s="12">
        <v>17</v>
      </c>
      <c r="H419" s="11">
        <v>123.636363636</v>
      </c>
      <c r="K419" s="12" t="str">
        <f t="shared" si="6"/>
        <v/>
      </c>
    </row>
    <row r="420" spans="1:11" x14ac:dyDescent="0.3">
      <c r="A420" s="9">
        <v>425</v>
      </c>
      <c r="B420" t="s">
        <v>476</v>
      </c>
      <c r="C420" s="10">
        <v>30780</v>
      </c>
      <c r="D420" t="s">
        <v>3</v>
      </c>
      <c r="E420" s="11">
        <v>56</v>
      </c>
      <c r="F420" s="11">
        <v>59</v>
      </c>
      <c r="G420" s="12">
        <v>19.666666667000001</v>
      </c>
      <c r="H420" s="11">
        <v>105.357142857</v>
      </c>
      <c r="I420" s="11">
        <v>788</v>
      </c>
      <c r="J420" s="11">
        <v>1057</v>
      </c>
      <c r="K420" s="12">
        <f t="shared" si="6"/>
        <v>8.0482233502538065</v>
      </c>
    </row>
    <row r="421" spans="1:11" x14ac:dyDescent="0.3">
      <c r="A421" s="9">
        <v>426</v>
      </c>
      <c r="B421" t="s">
        <v>477</v>
      </c>
      <c r="C421" s="10">
        <v>29654</v>
      </c>
      <c r="D421" t="s">
        <v>94</v>
      </c>
      <c r="E421" s="11">
        <v>23</v>
      </c>
      <c r="F421" s="11">
        <v>13</v>
      </c>
      <c r="G421" s="12">
        <v>2.6</v>
      </c>
      <c r="H421" s="11">
        <v>56.52173913</v>
      </c>
      <c r="I421" s="11">
        <v>263</v>
      </c>
      <c r="J421" s="11">
        <v>329</v>
      </c>
      <c r="K421" s="12">
        <f t="shared" si="6"/>
        <v>7.5057034220532319</v>
      </c>
    </row>
    <row r="422" spans="1:11" x14ac:dyDescent="0.3">
      <c r="A422" s="9">
        <v>427</v>
      </c>
      <c r="B422" t="s">
        <v>478</v>
      </c>
      <c r="C422" s="10">
        <v>29463</v>
      </c>
      <c r="D422" t="s">
        <v>3</v>
      </c>
      <c r="E422" s="11">
        <v>1210</v>
      </c>
      <c r="F422" s="11">
        <v>1441</v>
      </c>
      <c r="G422" s="12">
        <v>30.020833332999999</v>
      </c>
      <c r="H422" s="11">
        <v>119.090909091</v>
      </c>
      <c r="K422" s="12" t="str">
        <f t="shared" si="6"/>
        <v/>
      </c>
    </row>
    <row r="423" spans="1:11" x14ac:dyDescent="0.3">
      <c r="A423" s="9">
        <v>428</v>
      </c>
      <c r="B423" t="s">
        <v>479</v>
      </c>
      <c r="C423" s="10">
        <v>27257</v>
      </c>
      <c r="D423" t="s">
        <v>94</v>
      </c>
      <c r="E423" s="11">
        <v>31</v>
      </c>
      <c r="F423" s="11">
        <v>25</v>
      </c>
      <c r="G423" s="12">
        <v>8.3333333330000006</v>
      </c>
      <c r="H423" s="11">
        <v>80.645161290000004</v>
      </c>
      <c r="K423" s="12" t="str">
        <f t="shared" si="6"/>
        <v/>
      </c>
    </row>
    <row r="424" spans="1:11" x14ac:dyDescent="0.3">
      <c r="A424" s="9">
        <v>429</v>
      </c>
      <c r="B424" t="s">
        <v>480</v>
      </c>
      <c r="E424" s="11">
        <v>55</v>
      </c>
      <c r="F424" s="11">
        <v>95</v>
      </c>
      <c r="G424" s="12">
        <v>23.75</v>
      </c>
      <c r="H424" s="11">
        <v>172.72727272700001</v>
      </c>
      <c r="I424" s="11">
        <v>207</v>
      </c>
      <c r="J424" s="11">
        <v>336</v>
      </c>
      <c r="K424" s="12">
        <f t="shared" si="6"/>
        <v>9.7391304347826093</v>
      </c>
    </row>
    <row r="425" spans="1:11" x14ac:dyDescent="0.3">
      <c r="A425" s="9">
        <v>430</v>
      </c>
      <c r="B425" t="s">
        <v>481</v>
      </c>
      <c r="C425" s="10">
        <v>31386</v>
      </c>
      <c r="D425" t="s">
        <v>3</v>
      </c>
      <c r="E425" s="11">
        <v>3665</v>
      </c>
      <c r="F425" s="11">
        <v>4601</v>
      </c>
      <c r="G425" s="12">
        <v>33.583941606000003</v>
      </c>
      <c r="H425" s="11">
        <v>125.53888130999999</v>
      </c>
      <c r="I425" s="11">
        <v>49</v>
      </c>
      <c r="J425" s="11">
        <v>72</v>
      </c>
      <c r="K425" s="12">
        <f t="shared" si="6"/>
        <v>8.8163265306122458</v>
      </c>
    </row>
    <row r="426" spans="1:11" x14ac:dyDescent="0.3">
      <c r="A426" s="9">
        <v>431</v>
      </c>
      <c r="B426" t="s">
        <v>482</v>
      </c>
      <c r="E426" s="11">
        <v>33</v>
      </c>
      <c r="F426" s="11">
        <v>40</v>
      </c>
      <c r="G426" s="12">
        <v>10</v>
      </c>
      <c r="H426" s="11">
        <v>121.212121212</v>
      </c>
      <c r="I426" s="11">
        <v>11</v>
      </c>
      <c r="J426" s="11">
        <v>9</v>
      </c>
      <c r="K426" s="12">
        <f t="shared" si="6"/>
        <v>4.9090909090909092</v>
      </c>
    </row>
    <row r="427" spans="1:11" x14ac:dyDescent="0.3">
      <c r="A427" s="9">
        <v>432</v>
      </c>
      <c r="B427" t="s">
        <v>483</v>
      </c>
      <c r="E427" s="11">
        <v>377</v>
      </c>
      <c r="F427" s="11">
        <v>510</v>
      </c>
      <c r="G427" s="12">
        <v>36.428571429000002</v>
      </c>
      <c r="H427" s="11">
        <v>135.278514589</v>
      </c>
      <c r="K427" s="12" t="str">
        <f t="shared" si="6"/>
        <v/>
      </c>
    </row>
    <row r="428" spans="1:11" x14ac:dyDescent="0.3">
      <c r="A428" s="9">
        <v>433</v>
      </c>
      <c r="B428" t="s">
        <v>484</v>
      </c>
      <c r="C428" s="10">
        <v>34216</v>
      </c>
      <c r="D428" t="s">
        <v>3</v>
      </c>
      <c r="E428" s="11">
        <v>118</v>
      </c>
      <c r="F428" s="11">
        <v>129</v>
      </c>
      <c r="G428" s="12">
        <v>16.125</v>
      </c>
      <c r="H428" s="11">
        <v>109.322033898</v>
      </c>
      <c r="I428" s="11">
        <v>593</v>
      </c>
      <c r="J428" s="11">
        <v>753</v>
      </c>
      <c r="K428" s="12">
        <f t="shared" si="6"/>
        <v>7.6188870151770658</v>
      </c>
    </row>
    <row r="429" spans="1:11" x14ac:dyDescent="0.3">
      <c r="A429" s="9">
        <v>434</v>
      </c>
      <c r="B429" t="s">
        <v>485</v>
      </c>
      <c r="E429" s="11">
        <v>73</v>
      </c>
      <c r="F429" s="11">
        <v>90</v>
      </c>
      <c r="G429" s="12">
        <v>18</v>
      </c>
      <c r="H429" s="11">
        <v>123.287671233</v>
      </c>
      <c r="K429" s="12" t="str">
        <f t="shared" si="6"/>
        <v/>
      </c>
    </row>
    <row r="430" spans="1:11" x14ac:dyDescent="0.3">
      <c r="A430" s="9">
        <v>435</v>
      </c>
      <c r="B430" t="s">
        <v>486</v>
      </c>
      <c r="C430" s="10">
        <v>33012</v>
      </c>
      <c r="D430" t="s">
        <v>3</v>
      </c>
      <c r="E430" s="11">
        <v>28</v>
      </c>
      <c r="F430" s="11">
        <v>12</v>
      </c>
      <c r="G430" s="12">
        <v>4</v>
      </c>
      <c r="H430" s="11">
        <v>42.857142856999999</v>
      </c>
      <c r="I430" s="11">
        <v>1007</v>
      </c>
      <c r="J430" s="11">
        <v>1437</v>
      </c>
      <c r="K430" s="12">
        <f t="shared" si="6"/>
        <v>8.5620655412115187</v>
      </c>
    </row>
    <row r="431" spans="1:11" x14ac:dyDescent="0.3">
      <c r="A431" s="9">
        <v>436</v>
      </c>
      <c r="B431" t="s">
        <v>487</v>
      </c>
      <c r="C431" s="10">
        <v>34949</v>
      </c>
      <c r="D431" t="s">
        <v>3</v>
      </c>
      <c r="E431" s="11">
        <v>1</v>
      </c>
      <c r="F431" s="11">
        <v>0</v>
      </c>
      <c r="G431" s="12">
        <v>0</v>
      </c>
      <c r="H431" s="11">
        <v>0</v>
      </c>
      <c r="I431" s="11">
        <v>210</v>
      </c>
      <c r="J431" s="11">
        <v>304</v>
      </c>
      <c r="K431" s="12">
        <f t="shared" si="6"/>
        <v>8.6857142857142851</v>
      </c>
    </row>
    <row r="432" spans="1:11" x14ac:dyDescent="0.3">
      <c r="A432" s="9">
        <v>437</v>
      </c>
      <c r="B432" t="s">
        <v>488</v>
      </c>
      <c r="H432" s="11"/>
      <c r="I432" s="11">
        <v>50</v>
      </c>
      <c r="J432" s="11">
        <v>73</v>
      </c>
      <c r="K432" s="12">
        <f t="shared" si="6"/>
        <v>8.76</v>
      </c>
    </row>
    <row r="433" spans="1:11" x14ac:dyDescent="0.3">
      <c r="A433" s="9">
        <v>438</v>
      </c>
      <c r="B433" t="s">
        <v>489</v>
      </c>
      <c r="C433" s="10">
        <v>31603</v>
      </c>
      <c r="D433" t="s">
        <v>3</v>
      </c>
      <c r="E433" s="11">
        <v>9</v>
      </c>
      <c r="F433" s="11">
        <v>0</v>
      </c>
      <c r="G433" s="12">
        <v>0</v>
      </c>
      <c r="H433" s="11">
        <v>0</v>
      </c>
      <c r="I433" s="11">
        <v>141</v>
      </c>
      <c r="J433" s="11">
        <v>225</v>
      </c>
      <c r="K433" s="12">
        <f t="shared" si="6"/>
        <v>9.5744680851063837</v>
      </c>
    </row>
    <row r="434" spans="1:11" x14ac:dyDescent="0.3">
      <c r="A434" s="9">
        <v>439</v>
      </c>
      <c r="B434" t="s">
        <v>490</v>
      </c>
      <c r="E434" s="11">
        <v>1</v>
      </c>
      <c r="F434" s="11">
        <v>0</v>
      </c>
      <c r="G434" s="12">
        <v>0</v>
      </c>
      <c r="H434" s="11">
        <v>0</v>
      </c>
      <c r="I434" s="11">
        <v>211</v>
      </c>
      <c r="J434" s="11">
        <v>303</v>
      </c>
      <c r="K434" s="12">
        <f t="shared" si="6"/>
        <v>8.6161137440758306</v>
      </c>
    </row>
    <row r="435" spans="1:11" x14ac:dyDescent="0.3">
      <c r="A435" s="9">
        <v>440</v>
      </c>
      <c r="B435" t="s">
        <v>491</v>
      </c>
      <c r="E435" s="11">
        <v>15</v>
      </c>
      <c r="F435" s="11">
        <v>13</v>
      </c>
      <c r="G435" s="12">
        <v>4.3333333329999997</v>
      </c>
      <c r="H435" s="11">
        <v>86.666666667000001</v>
      </c>
      <c r="I435" s="11">
        <v>179</v>
      </c>
      <c r="J435" s="11">
        <v>288</v>
      </c>
      <c r="K435" s="12">
        <f t="shared" si="6"/>
        <v>9.6536312849162016</v>
      </c>
    </row>
    <row r="436" spans="1:11" x14ac:dyDescent="0.3">
      <c r="A436" s="9">
        <v>441</v>
      </c>
      <c r="B436" t="s">
        <v>492</v>
      </c>
      <c r="H436" s="11"/>
      <c r="I436" s="11">
        <v>13</v>
      </c>
      <c r="J436" s="11">
        <v>32</v>
      </c>
      <c r="K436" s="12">
        <f t="shared" si="6"/>
        <v>14.76923076923077</v>
      </c>
    </row>
    <row r="437" spans="1:11" x14ac:dyDescent="0.3">
      <c r="A437" s="9">
        <v>442</v>
      </c>
      <c r="B437" t="s">
        <v>493</v>
      </c>
      <c r="C437" s="10">
        <v>32732</v>
      </c>
      <c r="D437" t="s">
        <v>3</v>
      </c>
      <c r="E437" s="11">
        <v>77</v>
      </c>
      <c r="F437" s="11">
        <v>32</v>
      </c>
      <c r="G437" s="12">
        <v>2.2857142860000002</v>
      </c>
      <c r="H437" s="11">
        <v>41.558441557999998</v>
      </c>
      <c r="I437" s="11">
        <v>1283</v>
      </c>
      <c r="J437" s="11">
        <v>1589</v>
      </c>
      <c r="K437" s="12">
        <f t="shared" si="6"/>
        <v>7.4310210444271236</v>
      </c>
    </row>
    <row r="438" spans="1:11" x14ac:dyDescent="0.3">
      <c r="A438" s="9">
        <v>443</v>
      </c>
      <c r="B438" t="s">
        <v>494</v>
      </c>
      <c r="C438" s="10">
        <v>30057</v>
      </c>
      <c r="D438" t="s">
        <v>3</v>
      </c>
      <c r="E438" s="11">
        <v>27</v>
      </c>
      <c r="F438" s="11">
        <v>37</v>
      </c>
      <c r="G438" s="12">
        <v>9.25</v>
      </c>
      <c r="H438" s="11">
        <v>137.037037037</v>
      </c>
      <c r="I438" s="11">
        <v>113</v>
      </c>
      <c r="J438" s="11">
        <v>203</v>
      </c>
      <c r="K438" s="12">
        <f t="shared" si="6"/>
        <v>10.778761061946904</v>
      </c>
    </row>
    <row r="439" spans="1:11" x14ac:dyDescent="0.3">
      <c r="A439" s="9">
        <v>444</v>
      </c>
      <c r="B439" t="s">
        <v>495</v>
      </c>
      <c r="C439" s="10">
        <v>30943</v>
      </c>
      <c r="D439" t="s">
        <v>3</v>
      </c>
      <c r="E439" s="11">
        <v>81</v>
      </c>
      <c r="F439" s="11">
        <v>91</v>
      </c>
      <c r="G439" s="12">
        <v>18.2</v>
      </c>
      <c r="H439" s="11">
        <v>112.34567901200001</v>
      </c>
      <c r="I439" s="11">
        <v>16</v>
      </c>
      <c r="J439" s="11">
        <v>18</v>
      </c>
      <c r="K439" s="12">
        <f t="shared" si="6"/>
        <v>6.75</v>
      </c>
    </row>
    <row r="440" spans="1:11" x14ac:dyDescent="0.3">
      <c r="A440" s="9">
        <v>445</v>
      </c>
      <c r="B440" t="s">
        <v>496</v>
      </c>
      <c r="C440" s="10">
        <v>31077</v>
      </c>
      <c r="D440" t="s">
        <v>91</v>
      </c>
      <c r="E440" s="11">
        <v>4</v>
      </c>
      <c r="F440" s="11">
        <v>2</v>
      </c>
      <c r="G440" s="12">
        <v>2</v>
      </c>
      <c r="H440" s="11">
        <v>50</v>
      </c>
      <c r="I440" s="11">
        <v>180</v>
      </c>
      <c r="J440" s="11">
        <v>223</v>
      </c>
      <c r="K440" s="12">
        <f t="shared" si="6"/>
        <v>7.4333333333333336</v>
      </c>
    </row>
    <row r="441" spans="1:11" x14ac:dyDescent="0.3">
      <c r="A441" s="9">
        <v>446</v>
      </c>
      <c r="B441" t="s">
        <v>497</v>
      </c>
      <c r="E441" s="11">
        <v>53</v>
      </c>
      <c r="F441" s="11">
        <v>77</v>
      </c>
      <c r="G441" s="12">
        <v>15.4</v>
      </c>
      <c r="H441" s="11">
        <v>145.283018868</v>
      </c>
      <c r="I441" s="11">
        <v>46</v>
      </c>
      <c r="J441" s="11">
        <v>66</v>
      </c>
      <c r="K441" s="12">
        <f t="shared" si="6"/>
        <v>8.6086956521739122</v>
      </c>
    </row>
    <row r="442" spans="1:11" x14ac:dyDescent="0.3">
      <c r="A442" s="9">
        <v>447</v>
      </c>
      <c r="B442" t="s">
        <v>498</v>
      </c>
      <c r="E442" s="11">
        <v>3</v>
      </c>
      <c r="F442" s="11">
        <v>6</v>
      </c>
      <c r="H442" s="11">
        <v>200</v>
      </c>
      <c r="I442" s="11">
        <v>265</v>
      </c>
      <c r="J442" s="11">
        <v>367</v>
      </c>
      <c r="K442" s="12">
        <f t="shared" si="6"/>
        <v>8.3094339622641513</v>
      </c>
    </row>
    <row r="443" spans="1:11" x14ac:dyDescent="0.3">
      <c r="A443" s="9">
        <v>448</v>
      </c>
      <c r="B443" t="s">
        <v>499</v>
      </c>
      <c r="E443" s="11">
        <v>17</v>
      </c>
      <c r="F443" s="11">
        <v>16</v>
      </c>
      <c r="G443" s="12">
        <v>16</v>
      </c>
      <c r="H443" s="11">
        <v>94.117647059000006</v>
      </c>
      <c r="K443" s="12" t="str">
        <f t="shared" si="6"/>
        <v/>
      </c>
    </row>
    <row r="444" spans="1:11" x14ac:dyDescent="0.3">
      <c r="A444" s="9">
        <v>449</v>
      </c>
      <c r="B444" t="s">
        <v>500</v>
      </c>
      <c r="C444" s="10">
        <v>32091</v>
      </c>
      <c r="D444" t="s">
        <v>3</v>
      </c>
      <c r="E444" s="11">
        <v>290</v>
      </c>
      <c r="F444" s="11">
        <v>368</v>
      </c>
      <c r="G444" s="12">
        <v>20.444444443999998</v>
      </c>
      <c r="H444" s="11">
        <v>126.89655172400001</v>
      </c>
      <c r="K444" s="12" t="str">
        <f t="shared" si="6"/>
        <v/>
      </c>
    </row>
    <row r="445" spans="1:11" x14ac:dyDescent="0.3">
      <c r="A445" s="9">
        <v>450</v>
      </c>
      <c r="B445" t="s">
        <v>501</v>
      </c>
      <c r="C445" s="10">
        <v>30353</v>
      </c>
      <c r="D445" t="s">
        <v>3</v>
      </c>
      <c r="E445" s="11">
        <v>52</v>
      </c>
      <c r="F445" s="11">
        <v>34</v>
      </c>
      <c r="G445" s="12">
        <v>11.333333333000001</v>
      </c>
      <c r="H445" s="11">
        <v>65.384615385000004</v>
      </c>
      <c r="I445" s="11">
        <v>947</v>
      </c>
      <c r="J445" s="11">
        <v>1221</v>
      </c>
      <c r="K445" s="12">
        <f t="shared" si="6"/>
        <v>7.736008447729672</v>
      </c>
    </row>
    <row r="446" spans="1:11" x14ac:dyDescent="0.3">
      <c r="A446" s="9">
        <v>451</v>
      </c>
      <c r="B446" t="s">
        <v>502</v>
      </c>
      <c r="C446" s="10">
        <v>27811</v>
      </c>
      <c r="D446" t="s">
        <v>3</v>
      </c>
      <c r="E446" s="11">
        <v>36</v>
      </c>
      <c r="F446" s="11">
        <v>31</v>
      </c>
      <c r="G446" s="12">
        <v>15.5</v>
      </c>
      <c r="H446" s="11">
        <v>86.111111111</v>
      </c>
      <c r="I446" s="11">
        <v>18</v>
      </c>
      <c r="J446" s="11">
        <v>49</v>
      </c>
      <c r="K446" s="12">
        <f t="shared" si="6"/>
        <v>16.333333333333332</v>
      </c>
    </row>
    <row r="447" spans="1:11" x14ac:dyDescent="0.3">
      <c r="A447" s="9">
        <v>452</v>
      </c>
      <c r="B447" t="s">
        <v>503</v>
      </c>
      <c r="C447" s="10">
        <v>32037</v>
      </c>
      <c r="D447" t="s">
        <v>3</v>
      </c>
      <c r="E447" s="11">
        <v>4</v>
      </c>
      <c r="F447" s="11">
        <v>3</v>
      </c>
      <c r="H447" s="11">
        <v>75</v>
      </c>
      <c r="I447" s="11">
        <v>220</v>
      </c>
      <c r="J447" s="11">
        <v>304</v>
      </c>
      <c r="K447" s="12">
        <f t="shared" si="6"/>
        <v>8.290909090909091</v>
      </c>
    </row>
    <row r="448" spans="1:11" x14ac:dyDescent="0.3">
      <c r="A448" s="9">
        <v>453</v>
      </c>
      <c r="B448" t="s">
        <v>504</v>
      </c>
      <c r="C448" s="10">
        <v>29923</v>
      </c>
      <c r="D448" t="s">
        <v>3</v>
      </c>
      <c r="E448" s="11">
        <v>108</v>
      </c>
      <c r="F448" s="11">
        <v>145</v>
      </c>
      <c r="G448" s="12">
        <v>18.125</v>
      </c>
      <c r="H448" s="11">
        <v>134.259259259</v>
      </c>
      <c r="I448" s="11">
        <v>13</v>
      </c>
      <c r="J448" s="11">
        <v>22</v>
      </c>
      <c r="K448" s="12">
        <f t="shared" si="6"/>
        <v>10.153846153846155</v>
      </c>
    </row>
    <row r="449" spans="1:11" x14ac:dyDescent="0.3">
      <c r="A449" s="9">
        <v>454</v>
      </c>
      <c r="B449" t="s">
        <v>505</v>
      </c>
      <c r="H449" s="11"/>
      <c r="I449" s="11">
        <v>73</v>
      </c>
      <c r="J449" s="11">
        <v>88</v>
      </c>
      <c r="K449" s="12">
        <f t="shared" si="6"/>
        <v>7.2328767123287676</v>
      </c>
    </row>
    <row r="450" spans="1:11" x14ac:dyDescent="0.3">
      <c r="A450" s="9">
        <v>455</v>
      </c>
      <c r="B450" t="s">
        <v>506</v>
      </c>
      <c r="C450" s="10">
        <v>33663</v>
      </c>
      <c r="D450" t="s">
        <v>15</v>
      </c>
      <c r="E450" s="11">
        <v>13</v>
      </c>
      <c r="F450" s="11">
        <v>15</v>
      </c>
      <c r="G450" s="12">
        <v>15</v>
      </c>
      <c r="H450" s="11">
        <v>115.384615385</v>
      </c>
      <c r="I450" s="11">
        <v>32</v>
      </c>
      <c r="J450" s="11">
        <v>57</v>
      </c>
      <c r="K450" s="12">
        <f t="shared" ref="K450:K513" si="7">IF(J450&lt;&gt;0,J450/(I450/6),"")</f>
        <v>10.6875</v>
      </c>
    </row>
    <row r="451" spans="1:11" x14ac:dyDescent="0.3">
      <c r="A451" s="9">
        <v>456</v>
      </c>
      <c r="B451" t="s">
        <v>507</v>
      </c>
      <c r="C451" s="10">
        <v>30770</v>
      </c>
      <c r="D451" t="s">
        <v>3</v>
      </c>
      <c r="E451" s="11">
        <v>339</v>
      </c>
      <c r="F451" s="11">
        <v>423</v>
      </c>
      <c r="G451" s="12">
        <v>22.263157894999999</v>
      </c>
      <c r="H451" s="11">
        <v>124.778761062</v>
      </c>
      <c r="K451" s="12" t="str">
        <f t="shared" si="7"/>
        <v/>
      </c>
    </row>
    <row r="452" spans="1:11" x14ac:dyDescent="0.3">
      <c r="A452" s="9">
        <v>457</v>
      </c>
      <c r="B452" t="s">
        <v>508</v>
      </c>
      <c r="C452" s="10">
        <v>33130</v>
      </c>
      <c r="D452" t="s">
        <v>3</v>
      </c>
      <c r="E452" s="11">
        <v>465</v>
      </c>
      <c r="F452" s="11">
        <v>608</v>
      </c>
      <c r="G452" s="12">
        <v>20.965517241000001</v>
      </c>
      <c r="H452" s="11">
        <v>130.75268817200001</v>
      </c>
      <c r="I452" s="11">
        <v>6</v>
      </c>
      <c r="J452" s="11">
        <v>8</v>
      </c>
      <c r="K452" s="12">
        <f t="shared" si="7"/>
        <v>8</v>
      </c>
    </row>
    <row r="453" spans="1:11" x14ac:dyDescent="0.3">
      <c r="A453" s="9">
        <v>458</v>
      </c>
      <c r="B453" t="s">
        <v>509</v>
      </c>
      <c r="C453" s="10">
        <v>32495</v>
      </c>
      <c r="D453" t="s">
        <v>3</v>
      </c>
      <c r="E453" s="11">
        <v>101</v>
      </c>
      <c r="F453" s="11">
        <v>137</v>
      </c>
      <c r="G453" s="12">
        <v>15.222222221999999</v>
      </c>
      <c r="H453" s="11">
        <v>135.64356435600001</v>
      </c>
      <c r="I453" s="11">
        <v>10</v>
      </c>
      <c r="J453" s="11">
        <v>8</v>
      </c>
      <c r="K453" s="12">
        <f t="shared" si="7"/>
        <v>4.8</v>
      </c>
    </row>
    <row r="454" spans="1:11" x14ac:dyDescent="0.3">
      <c r="A454" s="9">
        <v>459</v>
      </c>
      <c r="B454" t="s">
        <v>510</v>
      </c>
      <c r="C454" s="10">
        <v>30962</v>
      </c>
      <c r="D454" t="s">
        <v>5</v>
      </c>
      <c r="E454" s="11">
        <v>161</v>
      </c>
      <c r="F454" s="11">
        <v>193</v>
      </c>
      <c r="G454" s="12">
        <v>27.571428570999998</v>
      </c>
      <c r="H454" s="11">
        <v>119.875776398</v>
      </c>
      <c r="K454" s="12" t="str">
        <f t="shared" si="7"/>
        <v/>
      </c>
    </row>
    <row r="455" spans="1:11" x14ac:dyDescent="0.3">
      <c r="A455" s="9">
        <v>460</v>
      </c>
      <c r="B455" t="s">
        <v>511</v>
      </c>
      <c r="C455" s="10">
        <v>34107</v>
      </c>
      <c r="D455" t="s">
        <v>3</v>
      </c>
      <c r="E455" s="11">
        <v>38</v>
      </c>
      <c r="F455" s="11">
        <v>26</v>
      </c>
      <c r="G455" s="12">
        <v>8.6666666669999994</v>
      </c>
      <c r="H455" s="11">
        <v>68.421052631999999</v>
      </c>
      <c r="I455" s="11">
        <v>1546</v>
      </c>
      <c r="J455" s="11">
        <v>1967</v>
      </c>
      <c r="K455" s="12">
        <f t="shared" si="7"/>
        <v>7.6338939197930138</v>
      </c>
    </row>
    <row r="456" spans="1:11" x14ac:dyDescent="0.3">
      <c r="A456" s="9">
        <v>461</v>
      </c>
      <c r="B456" t="s">
        <v>512</v>
      </c>
      <c r="C456" s="10">
        <v>26583</v>
      </c>
      <c r="D456" t="s">
        <v>3</v>
      </c>
      <c r="E456" s="11">
        <v>58</v>
      </c>
      <c r="F456" s="11">
        <v>49</v>
      </c>
      <c r="G456" s="12">
        <v>8.1666666669999994</v>
      </c>
      <c r="H456" s="11">
        <v>84.482758621000002</v>
      </c>
      <c r="I456" s="11">
        <v>153</v>
      </c>
      <c r="J456" s="11">
        <v>221</v>
      </c>
      <c r="K456" s="12">
        <f t="shared" si="7"/>
        <v>8.6666666666666661</v>
      </c>
    </row>
    <row r="457" spans="1:11" x14ac:dyDescent="0.3">
      <c r="A457" s="9">
        <v>462</v>
      </c>
      <c r="B457" t="s">
        <v>513</v>
      </c>
      <c r="C457" s="10">
        <v>29552</v>
      </c>
      <c r="D457" t="s">
        <v>3</v>
      </c>
      <c r="E457" s="11">
        <v>29</v>
      </c>
      <c r="F457" s="11">
        <v>28</v>
      </c>
      <c r="G457" s="12">
        <v>14</v>
      </c>
      <c r="H457" s="11">
        <v>96.551724137999997</v>
      </c>
      <c r="I457" s="11">
        <v>1101</v>
      </c>
      <c r="J457" s="11">
        <v>1474</v>
      </c>
      <c r="K457" s="12">
        <f t="shared" si="7"/>
        <v>8.0326975476839237</v>
      </c>
    </row>
    <row r="458" spans="1:11" x14ac:dyDescent="0.3">
      <c r="A458" s="9">
        <v>463</v>
      </c>
      <c r="B458" t="s">
        <v>514</v>
      </c>
      <c r="C458" s="10">
        <v>25725</v>
      </c>
      <c r="D458" t="s">
        <v>3</v>
      </c>
      <c r="E458" s="11">
        <v>14</v>
      </c>
      <c r="F458" s="11">
        <v>6</v>
      </c>
      <c r="G458" s="12">
        <v>3</v>
      </c>
      <c r="H458" s="11">
        <v>42.857142856999999</v>
      </c>
      <c r="I458" s="11">
        <v>55</v>
      </c>
      <c r="J458" s="11">
        <v>82</v>
      </c>
      <c r="K458" s="12">
        <f t="shared" si="7"/>
        <v>8.9454545454545453</v>
      </c>
    </row>
    <row r="459" spans="1:11" x14ac:dyDescent="0.3">
      <c r="A459" s="9">
        <v>464</v>
      </c>
      <c r="B459" t="s">
        <v>515</v>
      </c>
      <c r="C459" s="10">
        <v>27585</v>
      </c>
      <c r="D459" t="s">
        <v>15</v>
      </c>
      <c r="E459" s="11">
        <v>133</v>
      </c>
      <c r="F459" s="11">
        <v>131</v>
      </c>
      <c r="G459" s="12">
        <v>18.714285713999999</v>
      </c>
      <c r="H459" s="11">
        <v>98.496240602</v>
      </c>
      <c r="I459" s="11">
        <v>222</v>
      </c>
      <c r="J459" s="11">
        <v>278</v>
      </c>
      <c r="K459" s="12">
        <f t="shared" si="7"/>
        <v>7.5135135135135132</v>
      </c>
    </row>
    <row r="460" spans="1:11" x14ac:dyDescent="0.3">
      <c r="A460" s="9">
        <v>465</v>
      </c>
      <c r="B460" t="s">
        <v>516</v>
      </c>
      <c r="C460" s="10">
        <v>32425</v>
      </c>
      <c r="D460" t="s">
        <v>3</v>
      </c>
      <c r="E460" s="11">
        <v>3</v>
      </c>
      <c r="F460" s="11">
        <v>2</v>
      </c>
      <c r="G460" s="12">
        <v>1</v>
      </c>
      <c r="H460" s="11">
        <v>66.666666667000001</v>
      </c>
      <c r="I460" s="11">
        <v>108</v>
      </c>
      <c r="J460" s="11">
        <v>147</v>
      </c>
      <c r="K460" s="12">
        <f t="shared" si="7"/>
        <v>8.1666666666666661</v>
      </c>
    </row>
    <row r="461" spans="1:11" x14ac:dyDescent="0.3">
      <c r="A461" s="9">
        <v>466</v>
      </c>
      <c r="B461" t="s">
        <v>517</v>
      </c>
      <c r="C461" s="10">
        <v>26488</v>
      </c>
      <c r="D461" t="s">
        <v>3</v>
      </c>
      <c r="E461" s="11">
        <v>1261</v>
      </c>
      <c r="F461" s="11">
        <v>1349</v>
      </c>
      <c r="G461" s="12">
        <v>24.981481480999999</v>
      </c>
      <c r="H461" s="11">
        <v>106.978588422</v>
      </c>
      <c r="I461" s="11">
        <v>280</v>
      </c>
      <c r="J461" s="11">
        <v>370</v>
      </c>
      <c r="K461" s="12">
        <f t="shared" si="7"/>
        <v>7.9285714285714288</v>
      </c>
    </row>
    <row r="462" spans="1:11" x14ac:dyDescent="0.3">
      <c r="A462" s="9">
        <v>467</v>
      </c>
      <c r="B462" t="s">
        <v>518</v>
      </c>
      <c r="C462" s="10">
        <v>31903</v>
      </c>
      <c r="D462" t="s">
        <v>3</v>
      </c>
      <c r="E462" s="11">
        <v>89</v>
      </c>
      <c r="F462" s="11">
        <v>99</v>
      </c>
      <c r="G462" s="12">
        <v>14.142857143000001</v>
      </c>
      <c r="H462" s="11">
        <v>111.23595505599999</v>
      </c>
      <c r="I462" s="11">
        <v>38</v>
      </c>
      <c r="J462" s="11">
        <v>62</v>
      </c>
      <c r="K462" s="12">
        <f t="shared" si="7"/>
        <v>9.7894736842105274</v>
      </c>
    </row>
    <row r="463" spans="1:11" x14ac:dyDescent="0.3">
      <c r="A463" s="9">
        <v>468</v>
      </c>
      <c r="B463" t="s">
        <v>519</v>
      </c>
      <c r="E463" s="11">
        <v>13</v>
      </c>
      <c r="F463" s="11">
        <v>15</v>
      </c>
      <c r="G463" s="12">
        <v>15</v>
      </c>
      <c r="H463" s="11">
        <v>115.384615385</v>
      </c>
      <c r="K463" s="12" t="str">
        <f t="shared" si="7"/>
        <v/>
      </c>
    </row>
    <row r="464" spans="1:11" x14ac:dyDescent="0.3">
      <c r="A464" s="9">
        <v>469</v>
      </c>
      <c r="B464" t="s">
        <v>520</v>
      </c>
      <c r="C464" s="10">
        <v>27552</v>
      </c>
      <c r="D464" t="s">
        <v>15</v>
      </c>
      <c r="E464" s="11">
        <v>2</v>
      </c>
      <c r="F464" s="11">
        <v>1</v>
      </c>
      <c r="G464" s="12">
        <v>1</v>
      </c>
      <c r="H464" s="11">
        <v>50</v>
      </c>
      <c r="I464" s="11">
        <v>191</v>
      </c>
      <c r="J464" s="11">
        <v>225</v>
      </c>
      <c r="K464" s="12">
        <f t="shared" si="7"/>
        <v>7.0680628272251314</v>
      </c>
    </row>
    <row r="465" spans="1:11" x14ac:dyDescent="0.3">
      <c r="A465" s="9">
        <v>470</v>
      </c>
      <c r="B465" t="s">
        <v>521</v>
      </c>
      <c r="C465" s="10">
        <v>30506</v>
      </c>
      <c r="D465" t="s">
        <v>4</v>
      </c>
      <c r="E465" s="11">
        <v>1866</v>
      </c>
      <c r="F465" s="11">
        <v>2489</v>
      </c>
      <c r="G465" s="12">
        <v>38.292307692000001</v>
      </c>
      <c r="H465" s="11">
        <v>133.38692390099999</v>
      </c>
      <c r="K465" s="12" t="str">
        <f t="shared" si="7"/>
        <v/>
      </c>
    </row>
    <row r="466" spans="1:11" x14ac:dyDescent="0.3">
      <c r="A466" s="9">
        <v>471</v>
      </c>
      <c r="B466" t="s">
        <v>522</v>
      </c>
      <c r="C466" s="10">
        <v>29281</v>
      </c>
      <c r="D466" t="s">
        <v>5</v>
      </c>
      <c r="E466" s="11">
        <v>46</v>
      </c>
      <c r="F466" s="11">
        <v>81</v>
      </c>
      <c r="G466" s="12">
        <v>10.125</v>
      </c>
      <c r="H466" s="11">
        <v>176.08695652200001</v>
      </c>
      <c r="I466" s="11">
        <v>185</v>
      </c>
      <c r="J466" s="11">
        <v>237</v>
      </c>
      <c r="K466" s="12">
        <f t="shared" si="7"/>
        <v>7.686486486486487</v>
      </c>
    </row>
    <row r="467" spans="1:11" x14ac:dyDescent="0.3">
      <c r="A467" s="9">
        <v>472</v>
      </c>
      <c r="B467" t="s">
        <v>523</v>
      </c>
      <c r="C467" s="10">
        <v>31860</v>
      </c>
      <c r="D467" t="s">
        <v>84</v>
      </c>
      <c r="E467" s="11">
        <v>588</v>
      </c>
      <c r="F467" s="11">
        <v>750</v>
      </c>
      <c r="G467" s="12">
        <v>22.058823529000001</v>
      </c>
      <c r="H467" s="11">
        <v>127.551020408</v>
      </c>
      <c r="I467" s="11">
        <v>1359</v>
      </c>
      <c r="J467" s="11">
        <v>1685</v>
      </c>
      <c r="K467" s="12">
        <f t="shared" si="7"/>
        <v>7.4392935982339958</v>
      </c>
    </row>
    <row r="468" spans="1:11" x14ac:dyDescent="0.3">
      <c r="A468" s="9">
        <v>473</v>
      </c>
      <c r="B468" t="s">
        <v>524</v>
      </c>
      <c r="C468" s="10">
        <v>34221</v>
      </c>
      <c r="D468" t="s">
        <v>3</v>
      </c>
      <c r="E468" s="11">
        <v>3</v>
      </c>
      <c r="F468" s="11">
        <v>5</v>
      </c>
      <c r="G468" s="12">
        <v>5</v>
      </c>
      <c r="H468" s="11">
        <v>166.66666666699999</v>
      </c>
      <c r="I468" s="11">
        <v>114</v>
      </c>
      <c r="J468" s="11">
        <v>165</v>
      </c>
      <c r="K468" s="12">
        <f t="shared" si="7"/>
        <v>8.6842105263157894</v>
      </c>
    </row>
    <row r="469" spans="1:11" x14ac:dyDescent="0.3">
      <c r="A469" s="9">
        <v>474</v>
      </c>
      <c r="B469" t="s">
        <v>525</v>
      </c>
      <c r="C469" s="10">
        <v>33102</v>
      </c>
      <c r="D469" t="s">
        <v>5</v>
      </c>
      <c r="E469" s="11">
        <v>6</v>
      </c>
      <c r="F469" s="11">
        <v>1</v>
      </c>
      <c r="G469" s="12">
        <v>0.5</v>
      </c>
      <c r="H469" s="11">
        <v>16.666666667000001</v>
      </c>
      <c r="I469" s="11">
        <v>103</v>
      </c>
      <c r="J469" s="11">
        <v>154</v>
      </c>
      <c r="K469" s="12">
        <f t="shared" si="7"/>
        <v>8.9708737864077666</v>
      </c>
    </row>
    <row r="470" spans="1:11" x14ac:dyDescent="0.3">
      <c r="A470" s="9">
        <v>475</v>
      </c>
      <c r="B470" t="s">
        <v>526</v>
      </c>
      <c r="C470" s="10">
        <v>27619</v>
      </c>
      <c r="D470" t="s">
        <v>5</v>
      </c>
      <c r="E470" s="11">
        <v>7</v>
      </c>
      <c r="F470" s="11">
        <v>2</v>
      </c>
      <c r="G470" s="12">
        <v>2</v>
      </c>
      <c r="H470" s="11">
        <v>28.571428570999998</v>
      </c>
      <c r="I470" s="11">
        <v>46</v>
      </c>
      <c r="J470" s="11">
        <v>54</v>
      </c>
      <c r="K470" s="12">
        <f t="shared" si="7"/>
        <v>7.0434782608695645</v>
      </c>
    </row>
    <row r="471" spans="1:11" x14ac:dyDescent="0.3">
      <c r="A471" s="9">
        <v>476</v>
      </c>
      <c r="B471" t="s">
        <v>527</v>
      </c>
      <c r="C471" s="10">
        <v>29983</v>
      </c>
      <c r="D471" t="s">
        <v>5</v>
      </c>
      <c r="E471" s="11">
        <v>47</v>
      </c>
      <c r="F471" s="11">
        <v>52</v>
      </c>
      <c r="G471" s="12">
        <v>13</v>
      </c>
      <c r="H471" s="11">
        <v>110.638297872</v>
      </c>
      <c r="I471" s="11">
        <v>58</v>
      </c>
      <c r="J471" s="11">
        <v>87</v>
      </c>
      <c r="K471" s="12">
        <f t="shared" si="7"/>
        <v>9</v>
      </c>
    </row>
    <row r="472" spans="1:11" x14ac:dyDescent="0.3">
      <c r="A472" s="9">
        <v>477</v>
      </c>
      <c r="B472" t="s">
        <v>528</v>
      </c>
      <c r="C472" s="10">
        <v>29851</v>
      </c>
      <c r="D472" t="s">
        <v>3</v>
      </c>
      <c r="E472" s="11">
        <v>5</v>
      </c>
      <c r="F472" s="11">
        <v>5</v>
      </c>
      <c r="G472" s="12">
        <v>5</v>
      </c>
      <c r="H472" s="11">
        <v>100</v>
      </c>
      <c r="I472" s="11">
        <v>306</v>
      </c>
      <c r="J472" s="11">
        <v>444</v>
      </c>
      <c r="K472" s="12">
        <f t="shared" si="7"/>
        <v>8.7058823529411757</v>
      </c>
    </row>
    <row r="473" spans="1:11" x14ac:dyDescent="0.3">
      <c r="A473" s="9">
        <v>478</v>
      </c>
      <c r="B473" t="s">
        <v>529</v>
      </c>
      <c r="C473" s="10">
        <v>31743</v>
      </c>
      <c r="D473" t="s">
        <v>3</v>
      </c>
      <c r="E473" s="11">
        <v>3916</v>
      </c>
      <c r="F473" s="11">
        <v>5386</v>
      </c>
      <c r="G473" s="12">
        <v>33.662500000000001</v>
      </c>
      <c r="H473" s="11">
        <v>137.53830439199999</v>
      </c>
      <c r="I473" s="11">
        <v>930</v>
      </c>
      <c r="J473" s="11">
        <v>1139</v>
      </c>
      <c r="K473" s="12">
        <f t="shared" si="7"/>
        <v>7.3483870967741938</v>
      </c>
    </row>
    <row r="474" spans="1:11" x14ac:dyDescent="0.3">
      <c r="A474" s="9">
        <v>479</v>
      </c>
      <c r="B474" t="s">
        <v>530</v>
      </c>
      <c r="C474" s="10">
        <v>30198</v>
      </c>
      <c r="D474" t="s">
        <v>3</v>
      </c>
      <c r="E474" s="11">
        <v>59</v>
      </c>
      <c r="F474" s="11">
        <v>42</v>
      </c>
      <c r="G474" s="12">
        <v>5.25</v>
      </c>
      <c r="H474" s="11">
        <v>71.186440677999997</v>
      </c>
      <c r="I474" s="11">
        <v>1557</v>
      </c>
      <c r="J474" s="11">
        <v>1944</v>
      </c>
      <c r="K474" s="12">
        <f t="shared" si="7"/>
        <v>7.4913294797687859</v>
      </c>
    </row>
    <row r="475" spans="1:11" x14ac:dyDescent="0.3">
      <c r="A475" s="9">
        <v>480</v>
      </c>
      <c r="B475" t="s">
        <v>531</v>
      </c>
      <c r="C475" s="10">
        <v>25459</v>
      </c>
      <c r="D475" t="s">
        <v>4</v>
      </c>
      <c r="E475" s="11">
        <v>213</v>
      </c>
      <c r="F475" s="11">
        <v>198</v>
      </c>
      <c r="G475" s="12">
        <v>10.421052632</v>
      </c>
      <c r="H475" s="11">
        <v>92.957746478999994</v>
      </c>
      <c r="I475" s="11">
        <v>1223</v>
      </c>
      <c r="J475" s="11">
        <v>1465</v>
      </c>
      <c r="K475" s="12">
        <f t="shared" si="7"/>
        <v>7.1872444807849547</v>
      </c>
    </row>
    <row r="476" spans="1:11" x14ac:dyDescent="0.3">
      <c r="A476" s="9">
        <v>481</v>
      </c>
      <c r="B476" t="s">
        <v>532</v>
      </c>
      <c r="C476" s="10">
        <v>30556</v>
      </c>
      <c r="D476" t="s">
        <v>91</v>
      </c>
      <c r="E476" s="11">
        <v>99</v>
      </c>
      <c r="F476" s="11">
        <v>88</v>
      </c>
      <c r="G476" s="12">
        <v>7.3333333329999997</v>
      </c>
      <c r="H476" s="11">
        <v>88.888888889</v>
      </c>
      <c r="I476" s="11">
        <v>2974</v>
      </c>
      <c r="J476" s="11">
        <v>3511</v>
      </c>
      <c r="K476" s="12">
        <f t="shared" si="7"/>
        <v>7.0833893745796903</v>
      </c>
    </row>
    <row r="477" spans="1:11" x14ac:dyDescent="0.3">
      <c r="A477" s="9">
        <v>482</v>
      </c>
      <c r="B477" t="s">
        <v>533</v>
      </c>
      <c r="C477" s="10">
        <v>32609</v>
      </c>
      <c r="D477" t="s">
        <v>4</v>
      </c>
      <c r="H477" s="11"/>
      <c r="I477" s="11">
        <v>43</v>
      </c>
      <c r="J477" s="11">
        <v>56</v>
      </c>
      <c r="K477" s="12">
        <f t="shared" si="7"/>
        <v>7.8139534883720927</v>
      </c>
    </row>
    <row r="478" spans="1:11" x14ac:dyDescent="0.3">
      <c r="A478" s="9">
        <v>483</v>
      </c>
      <c r="B478" t="s">
        <v>534</v>
      </c>
      <c r="C478" s="10">
        <v>27089</v>
      </c>
      <c r="D478" t="s">
        <v>4</v>
      </c>
      <c r="E478" s="11">
        <v>13</v>
      </c>
      <c r="F478" s="11">
        <v>9</v>
      </c>
      <c r="H478" s="11">
        <v>69.230769230999996</v>
      </c>
      <c r="I478" s="11">
        <v>67</v>
      </c>
      <c r="J478" s="11">
        <v>74</v>
      </c>
      <c r="K478" s="12">
        <f t="shared" si="7"/>
        <v>6.6268656716417915</v>
      </c>
    </row>
    <row r="479" spans="1:11" x14ac:dyDescent="0.3">
      <c r="A479" s="9">
        <v>484</v>
      </c>
      <c r="B479" t="s">
        <v>535</v>
      </c>
      <c r="C479" s="10">
        <v>27627</v>
      </c>
      <c r="D479" t="s">
        <v>4</v>
      </c>
      <c r="E479" s="11">
        <v>184</v>
      </c>
      <c r="F479" s="11">
        <v>241</v>
      </c>
      <c r="G479" s="12">
        <v>24.1</v>
      </c>
      <c r="H479" s="11">
        <v>130.97826087000001</v>
      </c>
      <c r="K479" s="12" t="str">
        <f t="shared" si="7"/>
        <v/>
      </c>
    </row>
    <row r="480" spans="1:11" x14ac:dyDescent="0.3">
      <c r="A480" s="9">
        <v>485</v>
      </c>
      <c r="B480" t="s">
        <v>536</v>
      </c>
      <c r="C480" s="10">
        <v>26861</v>
      </c>
      <c r="D480" t="s">
        <v>7</v>
      </c>
      <c r="E480" s="11">
        <v>111</v>
      </c>
      <c r="F480" s="11">
        <v>147</v>
      </c>
      <c r="G480" s="12">
        <v>18.375</v>
      </c>
      <c r="H480" s="11">
        <v>132.43243243200001</v>
      </c>
      <c r="I480" s="11">
        <v>280</v>
      </c>
      <c r="J480" s="11">
        <v>307</v>
      </c>
      <c r="K480" s="12">
        <f t="shared" si="7"/>
        <v>6.5785714285714292</v>
      </c>
    </row>
    <row r="481" spans="1:11" x14ac:dyDescent="0.3">
      <c r="A481" s="9">
        <v>486</v>
      </c>
      <c r="B481" t="s">
        <v>537</v>
      </c>
      <c r="C481" s="10">
        <v>31087</v>
      </c>
      <c r="D481" t="s">
        <v>91</v>
      </c>
      <c r="E481" s="11">
        <v>17</v>
      </c>
      <c r="F481" s="11">
        <v>10</v>
      </c>
      <c r="G481" s="12">
        <v>10</v>
      </c>
      <c r="H481" s="11">
        <v>58.823529411999999</v>
      </c>
      <c r="I481" s="11">
        <v>195</v>
      </c>
      <c r="J481" s="11">
        <v>211</v>
      </c>
      <c r="K481" s="12">
        <f t="shared" si="7"/>
        <v>6.4923076923076923</v>
      </c>
    </row>
    <row r="482" spans="1:11" x14ac:dyDescent="0.3">
      <c r="A482" s="9">
        <v>487</v>
      </c>
      <c r="B482" t="s">
        <v>538</v>
      </c>
      <c r="C482" s="10">
        <v>35730</v>
      </c>
      <c r="D482" t="s">
        <v>3</v>
      </c>
      <c r="E482" s="11">
        <v>285</v>
      </c>
      <c r="F482" s="11">
        <v>412</v>
      </c>
      <c r="G482" s="12">
        <v>22.888888889</v>
      </c>
      <c r="H482" s="11">
        <v>144.561403509</v>
      </c>
      <c r="I482" s="11">
        <v>2</v>
      </c>
      <c r="J482" s="11">
        <v>6</v>
      </c>
      <c r="K482" s="12">
        <f t="shared" si="7"/>
        <v>18</v>
      </c>
    </row>
    <row r="483" spans="1:11" x14ac:dyDescent="0.3">
      <c r="A483" s="9">
        <v>488</v>
      </c>
      <c r="B483" t="s">
        <v>539</v>
      </c>
      <c r="C483" s="10">
        <v>33527</v>
      </c>
      <c r="D483" t="s">
        <v>3</v>
      </c>
      <c r="E483" s="11">
        <v>21</v>
      </c>
      <c r="F483" s="11">
        <v>36</v>
      </c>
      <c r="G483" s="12">
        <v>9</v>
      </c>
      <c r="H483" s="11">
        <v>171.42857142899999</v>
      </c>
      <c r="I483" s="11">
        <v>745</v>
      </c>
      <c r="J483" s="11">
        <v>1107</v>
      </c>
      <c r="K483" s="12">
        <f t="shared" si="7"/>
        <v>8.9154362416107382</v>
      </c>
    </row>
    <row r="484" spans="1:11" x14ac:dyDescent="0.3">
      <c r="A484" s="9">
        <v>489</v>
      </c>
      <c r="B484" t="s">
        <v>540</v>
      </c>
      <c r="C484" s="10">
        <v>31028</v>
      </c>
      <c r="D484" t="s">
        <v>5</v>
      </c>
      <c r="E484" s="11">
        <v>29</v>
      </c>
      <c r="F484" s="11">
        <v>36</v>
      </c>
      <c r="G484" s="12">
        <v>12</v>
      </c>
      <c r="H484" s="11">
        <v>124.137931034</v>
      </c>
      <c r="I484" s="11">
        <v>265</v>
      </c>
      <c r="J484" s="11">
        <v>275</v>
      </c>
      <c r="K484" s="12">
        <f t="shared" si="7"/>
        <v>6.2264150943396226</v>
      </c>
    </row>
    <row r="485" spans="1:11" x14ac:dyDescent="0.3">
      <c r="A485" s="9">
        <v>490</v>
      </c>
      <c r="B485" t="s">
        <v>541</v>
      </c>
      <c r="C485" s="10">
        <v>26755</v>
      </c>
      <c r="D485" t="s">
        <v>15</v>
      </c>
      <c r="E485" s="11">
        <v>165</v>
      </c>
      <c r="F485" s="11">
        <v>196</v>
      </c>
      <c r="G485" s="12">
        <v>21.777777778000001</v>
      </c>
      <c r="H485" s="11">
        <v>118.787878788</v>
      </c>
      <c r="K485" s="12" t="str">
        <f t="shared" si="7"/>
        <v/>
      </c>
    </row>
    <row r="486" spans="1:11" x14ac:dyDescent="0.3">
      <c r="A486" s="9">
        <v>491</v>
      </c>
      <c r="B486" t="s">
        <v>542</v>
      </c>
      <c r="C486" s="10">
        <v>32646</v>
      </c>
      <c r="D486" t="s">
        <v>3</v>
      </c>
      <c r="E486" s="11">
        <v>290</v>
      </c>
      <c r="F486" s="11">
        <v>295</v>
      </c>
      <c r="G486" s="12">
        <v>16.388888889</v>
      </c>
      <c r="H486" s="11">
        <v>101.724137931</v>
      </c>
      <c r="K486" s="12" t="str">
        <f t="shared" si="7"/>
        <v/>
      </c>
    </row>
    <row r="487" spans="1:11" x14ac:dyDescent="0.3">
      <c r="A487" s="9">
        <v>492</v>
      </c>
      <c r="B487" t="s">
        <v>543</v>
      </c>
      <c r="E487" s="11">
        <v>31</v>
      </c>
      <c r="F487" s="11">
        <v>38</v>
      </c>
      <c r="G487" s="12">
        <v>19</v>
      </c>
      <c r="H487" s="11">
        <v>122.58064516100001</v>
      </c>
      <c r="K487" s="12" t="str">
        <f t="shared" si="7"/>
        <v/>
      </c>
    </row>
    <row r="488" spans="1:11" x14ac:dyDescent="0.3">
      <c r="A488" s="9">
        <v>493</v>
      </c>
      <c r="B488" t="s">
        <v>544</v>
      </c>
      <c r="C488" s="10">
        <v>32289</v>
      </c>
      <c r="D488" t="s">
        <v>94</v>
      </c>
      <c r="E488" s="11">
        <v>458</v>
      </c>
      <c r="F488" s="11">
        <v>785</v>
      </c>
      <c r="G488" s="12">
        <v>19.625</v>
      </c>
      <c r="H488" s="11">
        <v>171.39737991300001</v>
      </c>
      <c r="I488" s="11">
        <v>2600</v>
      </c>
      <c r="J488" s="11">
        <v>2939</v>
      </c>
      <c r="K488" s="12">
        <f t="shared" si="7"/>
        <v>6.7823076923076924</v>
      </c>
    </row>
    <row r="489" spans="1:11" x14ac:dyDescent="0.3">
      <c r="A489" s="9">
        <v>494</v>
      </c>
      <c r="B489" t="s">
        <v>545</v>
      </c>
      <c r="C489" s="10">
        <v>32661</v>
      </c>
      <c r="D489" t="s">
        <v>3</v>
      </c>
      <c r="E489" s="11">
        <v>1570</v>
      </c>
      <c r="F489" s="11">
        <v>2038</v>
      </c>
      <c r="G489" s="12">
        <v>34.542372880999999</v>
      </c>
      <c r="H489" s="11">
        <v>129.808917197</v>
      </c>
      <c r="I489" s="11">
        <v>2</v>
      </c>
      <c r="J489" s="11">
        <v>5</v>
      </c>
      <c r="K489" s="12">
        <f t="shared" si="7"/>
        <v>15</v>
      </c>
    </row>
    <row r="490" spans="1:11" x14ac:dyDescent="0.3">
      <c r="A490" s="9">
        <v>495</v>
      </c>
      <c r="B490" t="s">
        <v>546</v>
      </c>
      <c r="C490" s="10">
        <v>26778</v>
      </c>
      <c r="D490" t="s">
        <v>3</v>
      </c>
      <c r="E490" s="11">
        <v>1943</v>
      </c>
      <c r="F490" s="11">
        <v>2334</v>
      </c>
      <c r="G490" s="12">
        <v>32.873239437000002</v>
      </c>
      <c r="H490" s="11">
        <v>120.123520329</v>
      </c>
      <c r="I490" s="11">
        <v>37</v>
      </c>
      <c r="J490" s="11">
        <v>59</v>
      </c>
      <c r="K490" s="12">
        <f t="shared" si="7"/>
        <v>9.5675675675675667</v>
      </c>
    </row>
    <row r="491" spans="1:11" x14ac:dyDescent="0.3">
      <c r="A491" s="9">
        <v>496</v>
      </c>
      <c r="B491" t="s">
        <v>547</v>
      </c>
      <c r="C491" s="10">
        <v>29754</v>
      </c>
      <c r="D491" t="s">
        <v>4</v>
      </c>
      <c r="E491" s="11">
        <v>2566</v>
      </c>
      <c r="F491" s="11">
        <v>3590</v>
      </c>
      <c r="G491" s="12">
        <v>31.217391304</v>
      </c>
      <c r="H491" s="11">
        <v>139.90646921300001</v>
      </c>
      <c r="I491" s="11">
        <v>2137</v>
      </c>
      <c r="J491" s="11">
        <v>2751</v>
      </c>
      <c r="K491" s="12">
        <f t="shared" si="7"/>
        <v>7.7239120262049594</v>
      </c>
    </row>
    <row r="492" spans="1:11" x14ac:dyDescent="0.3">
      <c r="A492" s="9">
        <v>497</v>
      </c>
      <c r="B492" t="s">
        <v>548</v>
      </c>
      <c r="H492" s="11"/>
      <c r="I492" s="11">
        <v>24</v>
      </c>
      <c r="J492" s="11">
        <v>42</v>
      </c>
      <c r="K492" s="12">
        <f t="shared" si="7"/>
        <v>10.5</v>
      </c>
    </row>
    <row r="493" spans="1:11" x14ac:dyDescent="0.3">
      <c r="A493" s="9">
        <v>498</v>
      </c>
      <c r="B493" t="s">
        <v>549</v>
      </c>
      <c r="C493" s="10">
        <v>34674</v>
      </c>
      <c r="D493" t="s">
        <v>3</v>
      </c>
      <c r="E493" s="11">
        <v>1321</v>
      </c>
      <c r="F493" s="11">
        <v>1695</v>
      </c>
      <c r="G493" s="12">
        <v>29.736842105000001</v>
      </c>
      <c r="H493" s="11">
        <v>128.31188493600001</v>
      </c>
      <c r="K493" s="12" t="str">
        <f t="shared" si="7"/>
        <v/>
      </c>
    </row>
    <row r="494" spans="1:11" x14ac:dyDescent="0.3">
      <c r="A494" s="9">
        <v>499</v>
      </c>
      <c r="B494" t="s">
        <v>550</v>
      </c>
      <c r="C494" s="10">
        <v>32443</v>
      </c>
      <c r="D494" t="s">
        <v>3</v>
      </c>
      <c r="H494" s="11"/>
      <c r="I494" s="11">
        <v>7</v>
      </c>
      <c r="J494" s="11">
        <v>6</v>
      </c>
      <c r="K494" s="12">
        <f t="shared" si="7"/>
        <v>5.1428571428571423</v>
      </c>
    </row>
    <row r="495" spans="1:11" x14ac:dyDescent="0.3">
      <c r="A495" s="9">
        <v>500</v>
      </c>
      <c r="B495" t="s">
        <v>551</v>
      </c>
      <c r="C495" s="10">
        <v>31031</v>
      </c>
      <c r="D495" t="s">
        <v>3</v>
      </c>
      <c r="H495" s="11"/>
      <c r="I495" s="11">
        <v>25</v>
      </c>
      <c r="J495" s="11">
        <v>34</v>
      </c>
      <c r="K495" s="12">
        <f t="shared" si="7"/>
        <v>8.16</v>
      </c>
    </row>
    <row r="496" spans="1:11" x14ac:dyDescent="0.3">
      <c r="A496" s="9">
        <v>501</v>
      </c>
      <c r="B496" t="s">
        <v>552</v>
      </c>
      <c r="C496" s="10">
        <v>31795</v>
      </c>
      <c r="D496" t="s">
        <v>3</v>
      </c>
      <c r="E496" s="11">
        <v>7</v>
      </c>
      <c r="F496" s="11">
        <v>6</v>
      </c>
      <c r="H496" s="11">
        <v>85.714285713999999</v>
      </c>
      <c r="K496" s="12" t="str">
        <f t="shared" si="7"/>
        <v/>
      </c>
    </row>
    <row r="497" spans="1:11" x14ac:dyDescent="0.3">
      <c r="A497" s="9">
        <v>502</v>
      </c>
      <c r="B497" t="s">
        <v>553</v>
      </c>
      <c r="C497" s="10">
        <v>32872</v>
      </c>
      <c r="D497" t="s">
        <v>3</v>
      </c>
      <c r="E497" s="11">
        <v>1064</v>
      </c>
      <c r="F497" s="11">
        <v>1276</v>
      </c>
      <c r="G497" s="12">
        <v>30.380952381</v>
      </c>
      <c r="H497" s="11">
        <v>119.92481203</v>
      </c>
      <c r="K497" s="12" t="str">
        <f t="shared" si="7"/>
        <v/>
      </c>
    </row>
    <row r="498" spans="1:11" x14ac:dyDescent="0.3">
      <c r="A498" s="9">
        <v>503</v>
      </c>
      <c r="B498" t="s">
        <v>554</v>
      </c>
      <c r="C498" s="10">
        <v>25384</v>
      </c>
      <c r="D498" t="s">
        <v>91</v>
      </c>
      <c r="E498" s="11">
        <v>531</v>
      </c>
      <c r="F498" s="11">
        <v>768</v>
      </c>
      <c r="G498" s="12">
        <v>26.482758620999999</v>
      </c>
      <c r="H498" s="11">
        <v>144.63276836200001</v>
      </c>
      <c r="I498" s="11">
        <v>301</v>
      </c>
      <c r="J498" s="11">
        <v>396</v>
      </c>
      <c r="K498" s="12">
        <f t="shared" si="7"/>
        <v>7.8936877076411962</v>
      </c>
    </row>
    <row r="499" spans="1:11" x14ac:dyDescent="0.3">
      <c r="A499" s="9">
        <v>504</v>
      </c>
      <c r="B499" t="s">
        <v>555</v>
      </c>
      <c r="C499" s="10">
        <v>30836</v>
      </c>
      <c r="D499" t="s">
        <v>3</v>
      </c>
      <c r="E499" s="11">
        <v>683</v>
      </c>
      <c r="F499" s="11">
        <v>880</v>
      </c>
      <c r="G499" s="12">
        <v>20</v>
      </c>
      <c r="H499" s="11">
        <v>128.843338214</v>
      </c>
      <c r="I499" s="11">
        <v>612</v>
      </c>
      <c r="J499" s="11">
        <v>767</v>
      </c>
      <c r="K499" s="12">
        <f t="shared" si="7"/>
        <v>7.5196078431372548</v>
      </c>
    </row>
    <row r="500" spans="1:11" x14ac:dyDescent="0.3">
      <c r="A500" s="9">
        <v>505</v>
      </c>
      <c r="B500" t="s">
        <v>556</v>
      </c>
      <c r="C500" s="10">
        <v>32413</v>
      </c>
      <c r="D500" t="s">
        <v>3</v>
      </c>
      <c r="E500" s="11">
        <v>1</v>
      </c>
      <c r="F500" s="11">
        <v>0</v>
      </c>
      <c r="G500" s="12">
        <v>0</v>
      </c>
      <c r="H500" s="11">
        <v>0</v>
      </c>
      <c r="I500" s="11">
        <v>19</v>
      </c>
      <c r="J500" s="11">
        <v>47</v>
      </c>
      <c r="K500" s="12">
        <f t="shared" si="7"/>
        <v>14.842105263157896</v>
      </c>
    </row>
    <row r="501" spans="1:11" x14ac:dyDescent="0.3">
      <c r="A501" s="9">
        <v>506</v>
      </c>
      <c r="B501" t="s">
        <v>557</v>
      </c>
      <c r="C501" s="10">
        <v>31764</v>
      </c>
      <c r="D501" t="s">
        <v>3</v>
      </c>
      <c r="E501" s="11">
        <v>31</v>
      </c>
      <c r="F501" s="11">
        <v>43</v>
      </c>
      <c r="G501" s="12">
        <v>10.75</v>
      </c>
      <c r="H501" s="11">
        <v>138.709677419</v>
      </c>
      <c r="K501" s="12" t="str">
        <f t="shared" si="7"/>
        <v/>
      </c>
    </row>
    <row r="502" spans="1:11" x14ac:dyDescent="0.3">
      <c r="A502" s="9">
        <v>507</v>
      </c>
      <c r="B502" t="s">
        <v>558</v>
      </c>
      <c r="C502" s="10">
        <v>34649</v>
      </c>
      <c r="D502" t="s">
        <v>3</v>
      </c>
      <c r="E502" s="11">
        <v>1693</v>
      </c>
      <c r="F502" s="11">
        <v>2215</v>
      </c>
      <c r="G502" s="12">
        <v>28.037974684000002</v>
      </c>
      <c r="H502" s="11">
        <v>130.83284111</v>
      </c>
      <c r="K502" s="12" t="str">
        <f t="shared" si="7"/>
        <v/>
      </c>
    </row>
    <row r="503" spans="1:11" x14ac:dyDescent="0.3">
      <c r="A503" s="9">
        <v>508</v>
      </c>
      <c r="B503" t="s">
        <v>559</v>
      </c>
      <c r="C503" s="10">
        <v>33404</v>
      </c>
      <c r="D503" t="s">
        <v>6</v>
      </c>
      <c r="E503" s="11">
        <v>250</v>
      </c>
      <c r="F503" s="11">
        <v>337</v>
      </c>
      <c r="G503" s="12">
        <v>17.736842105000001</v>
      </c>
      <c r="H503" s="11">
        <v>134.80000000000001</v>
      </c>
      <c r="K503" s="12" t="str">
        <f t="shared" si="7"/>
        <v/>
      </c>
    </row>
    <row r="504" spans="1:11" x14ac:dyDescent="0.3">
      <c r="A504" s="9">
        <v>509</v>
      </c>
      <c r="B504" t="s">
        <v>560</v>
      </c>
      <c r="C504" s="10">
        <v>30369</v>
      </c>
      <c r="D504" t="s">
        <v>4</v>
      </c>
      <c r="E504" s="11">
        <v>26</v>
      </c>
      <c r="F504" s="11">
        <v>23</v>
      </c>
      <c r="G504" s="12">
        <v>7.6666666670000003</v>
      </c>
      <c r="H504" s="11">
        <v>88.461538461999993</v>
      </c>
      <c r="I504" s="11">
        <v>534</v>
      </c>
      <c r="J504" s="11">
        <v>668</v>
      </c>
      <c r="K504" s="12">
        <f t="shared" si="7"/>
        <v>7.5056179775280896</v>
      </c>
    </row>
    <row r="505" spans="1:11" x14ac:dyDescent="0.3">
      <c r="A505" s="9">
        <v>510</v>
      </c>
      <c r="B505" t="s">
        <v>561</v>
      </c>
      <c r="C505" s="10">
        <v>33260</v>
      </c>
      <c r="D505" t="s">
        <v>3</v>
      </c>
      <c r="E505" s="11">
        <v>20</v>
      </c>
      <c r="F505" s="11">
        <v>12</v>
      </c>
      <c r="G505" s="12">
        <v>4</v>
      </c>
      <c r="H505" s="11">
        <v>60</v>
      </c>
      <c r="I505" s="11">
        <v>61</v>
      </c>
      <c r="J505" s="11">
        <v>90</v>
      </c>
      <c r="K505" s="12">
        <f t="shared" si="7"/>
        <v>8.8524590163934427</v>
      </c>
    </row>
    <row r="506" spans="1:11" x14ac:dyDescent="0.3">
      <c r="A506" s="9">
        <v>511</v>
      </c>
      <c r="B506" t="s">
        <v>562</v>
      </c>
      <c r="E506" s="11">
        <v>27</v>
      </c>
      <c r="F506" s="11">
        <v>23</v>
      </c>
      <c r="G506" s="12">
        <v>7.6666666670000003</v>
      </c>
      <c r="H506" s="11">
        <v>85.185185184999995</v>
      </c>
      <c r="I506" s="11">
        <v>64</v>
      </c>
      <c r="J506" s="11">
        <v>121</v>
      </c>
      <c r="K506" s="12">
        <f t="shared" si="7"/>
        <v>11.34375</v>
      </c>
    </row>
    <row r="507" spans="1:11" x14ac:dyDescent="0.3">
      <c r="A507" s="9">
        <v>512</v>
      </c>
      <c r="B507" t="s">
        <v>563</v>
      </c>
      <c r="C507" s="10">
        <v>27242</v>
      </c>
      <c r="D507" t="s">
        <v>7</v>
      </c>
      <c r="E507" s="11">
        <v>16</v>
      </c>
      <c r="F507" s="11">
        <v>11</v>
      </c>
      <c r="G507" s="12">
        <v>11</v>
      </c>
      <c r="H507" s="11">
        <v>68.75</v>
      </c>
      <c r="I507" s="11">
        <v>36</v>
      </c>
      <c r="J507" s="11">
        <v>41</v>
      </c>
      <c r="K507" s="12">
        <f t="shared" si="7"/>
        <v>6.833333333333333</v>
      </c>
    </row>
    <row r="508" spans="1:11" x14ac:dyDescent="0.3">
      <c r="A508" s="9">
        <v>513</v>
      </c>
      <c r="B508" t="s">
        <v>564</v>
      </c>
      <c r="C508" s="10">
        <v>32494</v>
      </c>
      <c r="D508" t="s">
        <v>3</v>
      </c>
      <c r="E508" s="11">
        <v>19</v>
      </c>
      <c r="F508" s="11">
        <v>11</v>
      </c>
      <c r="G508" s="12">
        <v>3.6666666669999999</v>
      </c>
      <c r="H508" s="11">
        <v>57.894736842</v>
      </c>
      <c r="K508" s="12" t="str">
        <f t="shared" si="7"/>
        <v/>
      </c>
    </row>
    <row r="509" spans="1:11" x14ac:dyDescent="0.3">
      <c r="A509" s="9">
        <v>515</v>
      </c>
      <c r="B509" t="s">
        <v>565</v>
      </c>
      <c r="H509" s="11"/>
      <c r="I509" s="11">
        <v>82</v>
      </c>
      <c r="J509" s="11">
        <v>116</v>
      </c>
      <c r="K509" s="12">
        <f t="shared" si="7"/>
        <v>8.4878048780487809</v>
      </c>
    </row>
    <row r="510" spans="1:11" x14ac:dyDescent="0.3">
      <c r="A510" s="9">
        <v>516</v>
      </c>
      <c r="B510" t="s">
        <v>566</v>
      </c>
      <c r="C510" s="10">
        <v>32922</v>
      </c>
      <c r="D510" t="s">
        <v>7</v>
      </c>
      <c r="H510" s="11"/>
      <c r="I510" s="11">
        <v>96</v>
      </c>
      <c r="J510" s="11">
        <v>151</v>
      </c>
      <c r="K510" s="12">
        <f t="shared" si="7"/>
        <v>9.4375</v>
      </c>
    </row>
    <row r="511" spans="1:11" x14ac:dyDescent="0.3">
      <c r="A511" s="9">
        <v>517</v>
      </c>
      <c r="B511" t="s">
        <v>567</v>
      </c>
      <c r="C511" s="10">
        <v>30450</v>
      </c>
      <c r="D511" t="s">
        <v>474</v>
      </c>
      <c r="E511" s="11">
        <v>26</v>
      </c>
      <c r="F511" s="11">
        <v>31</v>
      </c>
      <c r="G511" s="12">
        <v>10.333333333000001</v>
      </c>
      <c r="H511" s="11">
        <v>119.230769231</v>
      </c>
      <c r="K511" s="12" t="str">
        <f t="shared" si="7"/>
        <v/>
      </c>
    </row>
    <row r="512" spans="1:11" x14ac:dyDescent="0.3">
      <c r="A512" s="9">
        <v>518</v>
      </c>
      <c r="B512" t="s">
        <v>568</v>
      </c>
      <c r="C512" s="10">
        <v>29646</v>
      </c>
      <c r="D512" t="s">
        <v>91</v>
      </c>
      <c r="E512" s="11">
        <v>18</v>
      </c>
      <c r="F512" s="11">
        <v>12</v>
      </c>
      <c r="G512" s="12">
        <v>6</v>
      </c>
      <c r="H512" s="11">
        <v>66.666666667000001</v>
      </c>
      <c r="I512" s="11">
        <v>144</v>
      </c>
      <c r="J512" s="11">
        <v>164</v>
      </c>
      <c r="K512" s="12">
        <f t="shared" si="7"/>
        <v>6.833333333333333</v>
      </c>
    </row>
    <row r="513" spans="1:11" x14ac:dyDescent="0.3">
      <c r="A513" s="9">
        <v>519</v>
      </c>
      <c r="B513" t="s">
        <v>569</v>
      </c>
      <c r="C513" s="10">
        <v>32711</v>
      </c>
      <c r="D513" t="s">
        <v>15</v>
      </c>
      <c r="E513" s="11">
        <v>14</v>
      </c>
      <c r="F513" s="11">
        <v>12</v>
      </c>
      <c r="G513" s="12">
        <v>6</v>
      </c>
      <c r="H513" s="11">
        <v>85.714285713999999</v>
      </c>
      <c r="I513" s="11">
        <v>802</v>
      </c>
      <c r="J513" s="11">
        <v>1168</v>
      </c>
      <c r="K513" s="12">
        <f t="shared" si="7"/>
        <v>8.7381546134663353</v>
      </c>
    </row>
    <row r="514" spans="1:11" x14ac:dyDescent="0.3">
      <c r="A514" s="9">
        <v>520</v>
      </c>
      <c r="B514" t="s">
        <v>570</v>
      </c>
      <c r="C514" s="10">
        <v>31024</v>
      </c>
      <c r="D514" t="s">
        <v>4</v>
      </c>
      <c r="E514" s="11">
        <v>26</v>
      </c>
      <c r="F514" s="11">
        <v>10</v>
      </c>
      <c r="G514" s="12">
        <v>5</v>
      </c>
      <c r="H514" s="11">
        <v>38.461538462</v>
      </c>
      <c r="K514" s="12" t="str">
        <f t="shared" ref="K514:K560" si="8">IF(J514&lt;&gt;0,J514/(I514/6),"")</f>
        <v/>
      </c>
    </row>
    <row r="515" spans="1:11" x14ac:dyDescent="0.3">
      <c r="A515" s="9">
        <v>521</v>
      </c>
      <c r="B515" t="s">
        <v>571</v>
      </c>
      <c r="H515" s="11"/>
      <c r="I515" s="11">
        <v>21</v>
      </c>
      <c r="J515" s="11">
        <v>33</v>
      </c>
      <c r="K515" s="12">
        <f t="shared" si="8"/>
        <v>9.4285714285714288</v>
      </c>
    </row>
    <row r="516" spans="1:11" x14ac:dyDescent="0.3">
      <c r="A516" s="9">
        <v>522</v>
      </c>
      <c r="B516" t="s">
        <v>572</v>
      </c>
      <c r="C516" s="10">
        <v>32488</v>
      </c>
      <c r="D516" t="s">
        <v>15</v>
      </c>
      <c r="E516" s="11">
        <v>90</v>
      </c>
      <c r="F516" s="11">
        <v>115</v>
      </c>
      <c r="G516" s="12">
        <v>19.166666667000001</v>
      </c>
      <c r="H516" s="11">
        <v>127.777777778</v>
      </c>
      <c r="I516" s="11">
        <v>932</v>
      </c>
      <c r="J516" s="11">
        <v>1340</v>
      </c>
      <c r="K516" s="12">
        <f t="shared" si="8"/>
        <v>8.6266094420600847</v>
      </c>
    </row>
    <row r="517" spans="1:11" x14ac:dyDescent="0.3">
      <c r="A517" s="9">
        <v>523</v>
      </c>
      <c r="B517" t="s">
        <v>573</v>
      </c>
      <c r="C517" s="10">
        <v>30665</v>
      </c>
      <c r="D517" t="s">
        <v>3</v>
      </c>
      <c r="E517" s="11">
        <v>573</v>
      </c>
      <c r="F517" s="11">
        <v>676</v>
      </c>
      <c r="G517" s="12">
        <v>22.533333333000002</v>
      </c>
      <c r="H517" s="11">
        <v>117.97556719000001</v>
      </c>
      <c r="I517" s="11">
        <v>152</v>
      </c>
      <c r="J517" s="11">
        <v>198</v>
      </c>
      <c r="K517" s="12">
        <f t="shared" si="8"/>
        <v>7.8157894736842106</v>
      </c>
    </row>
    <row r="518" spans="1:11" x14ac:dyDescent="0.3">
      <c r="A518" s="9">
        <v>524</v>
      </c>
      <c r="B518" t="s">
        <v>574</v>
      </c>
      <c r="C518" s="10">
        <v>28047</v>
      </c>
      <c r="D518" t="s">
        <v>91</v>
      </c>
      <c r="E518" s="11">
        <v>1006</v>
      </c>
      <c r="F518" s="11">
        <v>1153</v>
      </c>
      <c r="G518" s="12">
        <v>28.12195122</v>
      </c>
      <c r="H518" s="11">
        <v>114.612326044</v>
      </c>
      <c r="I518" s="11">
        <v>275</v>
      </c>
      <c r="J518" s="11">
        <v>368</v>
      </c>
      <c r="K518" s="12">
        <f t="shared" si="8"/>
        <v>8.0290909090909093</v>
      </c>
    </row>
    <row r="519" spans="1:11" x14ac:dyDescent="0.3">
      <c r="A519" s="9">
        <v>525</v>
      </c>
      <c r="B519" t="s">
        <v>575</v>
      </c>
      <c r="C519" s="10">
        <v>34332</v>
      </c>
      <c r="D519" t="s">
        <v>4</v>
      </c>
      <c r="E519" s="11">
        <v>148</v>
      </c>
      <c r="F519" s="11">
        <v>205</v>
      </c>
      <c r="G519" s="12">
        <v>34.166666667000001</v>
      </c>
      <c r="H519" s="11">
        <v>138.51351351400001</v>
      </c>
      <c r="I519" s="11">
        <v>48</v>
      </c>
      <c r="J519" s="11">
        <v>81</v>
      </c>
      <c r="K519" s="12">
        <f t="shared" si="8"/>
        <v>10.125</v>
      </c>
    </row>
    <row r="520" spans="1:11" x14ac:dyDescent="0.3">
      <c r="A520" s="9">
        <v>526</v>
      </c>
      <c r="B520" t="s">
        <v>576</v>
      </c>
      <c r="C520" s="10">
        <v>32819</v>
      </c>
      <c r="D520" t="s">
        <v>3</v>
      </c>
      <c r="E520" s="11">
        <v>11</v>
      </c>
      <c r="F520" s="11">
        <v>8</v>
      </c>
      <c r="G520" s="12">
        <v>8</v>
      </c>
      <c r="H520" s="11">
        <v>72.727272726999999</v>
      </c>
      <c r="K520" s="12" t="str">
        <f t="shared" si="8"/>
        <v/>
      </c>
    </row>
    <row r="521" spans="1:11" x14ac:dyDescent="0.3">
      <c r="A521" s="9">
        <v>527</v>
      </c>
      <c r="B521" t="s">
        <v>577</v>
      </c>
      <c r="C521" s="10">
        <v>30796</v>
      </c>
      <c r="D521" t="s">
        <v>3</v>
      </c>
      <c r="H521" s="11"/>
      <c r="I521" s="11">
        <v>74</v>
      </c>
      <c r="J521" s="11">
        <v>137</v>
      </c>
      <c r="K521" s="12">
        <f t="shared" si="8"/>
        <v>11.108108108108107</v>
      </c>
    </row>
    <row r="522" spans="1:11" x14ac:dyDescent="0.3">
      <c r="A522" s="9">
        <v>528</v>
      </c>
      <c r="B522" t="s">
        <v>578</v>
      </c>
      <c r="C522" s="10">
        <v>29929</v>
      </c>
      <c r="D522" t="s">
        <v>4</v>
      </c>
      <c r="E522" s="11">
        <v>58</v>
      </c>
      <c r="F522" s="11">
        <v>75</v>
      </c>
      <c r="G522" s="12">
        <v>15</v>
      </c>
      <c r="H522" s="11">
        <v>129.31034482800001</v>
      </c>
      <c r="K522" s="12" t="str">
        <f t="shared" si="8"/>
        <v/>
      </c>
    </row>
    <row r="523" spans="1:11" x14ac:dyDescent="0.3">
      <c r="A523" s="9">
        <v>529</v>
      </c>
      <c r="B523" t="s">
        <v>579</v>
      </c>
      <c r="E523" s="11">
        <v>11</v>
      </c>
      <c r="F523" s="11">
        <v>8</v>
      </c>
      <c r="G523" s="12">
        <v>2.6666666669999999</v>
      </c>
      <c r="H523" s="11">
        <v>72.727272726999999</v>
      </c>
      <c r="I523" s="11">
        <v>111</v>
      </c>
      <c r="J523" s="11">
        <v>157</v>
      </c>
      <c r="K523" s="12">
        <f t="shared" si="8"/>
        <v>8.486486486486486</v>
      </c>
    </row>
    <row r="524" spans="1:11" x14ac:dyDescent="0.3">
      <c r="A524" s="9">
        <v>530</v>
      </c>
      <c r="B524" t="s">
        <v>580</v>
      </c>
      <c r="C524" s="10">
        <v>32113</v>
      </c>
      <c r="D524" t="s">
        <v>3</v>
      </c>
      <c r="E524" s="11">
        <v>1</v>
      </c>
      <c r="F524" s="11">
        <v>0</v>
      </c>
      <c r="H524" s="11">
        <v>0</v>
      </c>
      <c r="K524" s="12" t="str">
        <f t="shared" si="8"/>
        <v/>
      </c>
    </row>
    <row r="525" spans="1:11" x14ac:dyDescent="0.3">
      <c r="A525" s="9">
        <v>531</v>
      </c>
      <c r="B525" t="s">
        <v>581</v>
      </c>
      <c r="C525" s="10">
        <v>32829</v>
      </c>
      <c r="D525" t="s">
        <v>3</v>
      </c>
      <c r="E525" s="11">
        <v>14</v>
      </c>
      <c r="F525" s="11">
        <v>7</v>
      </c>
      <c r="G525" s="12">
        <v>7</v>
      </c>
      <c r="H525" s="11">
        <v>50</v>
      </c>
      <c r="K525" s="12" t="str">
        <f t="shared" si="8"/>
        <v/>
      </c>
    </row>
    <row r="526" spans="1:11" x14ac:dyDescent="0.3">
      <c r="A526" s="9">
        <v>532</v>
      </c>
      <c r="B526" t="s">
        <v>582</v>
      </c>
      <c r="C526" s="10">
        <v>34054</v>
      </c>
      <c r="D526" t="s">
        <v>3</v>
      </c>
      <c r="E526" s="11">
        <v>300</v>
      </c>
      <c r="F526" s="11">
        <v>300</v>
      </c>
      <c r="G526" s="12">
        <v>15</v>
      </c>
      <c r="H526" s="11">
        <v>100</v>
      </c>
      <c r="K526" s="12" t="str">
        <f t="shared" si="8"/>
        <v/>
      </c>
    </row>
    <row r="527" spans="1:11" x14ac:dyDescent="0.3">
      <c r="A527" s="9">
        <v>533</v>
      </c>
      <c r="B527" t="s">
        <v>583</v>
      </c>
      <c r="C527" s="10">
        <v>30786</v>
      </c>
      <c r="D527" t="s">
        <v>5</v>
      </c>
      <c r="E527" s="11">
        <v>19</v>
      </c>
      <c r="F527" s="11">
        <v>39</v>
      </c>
      <c r="G527" s="12">
        <v>13</v>
      </c>
      <c r="H527" s="11">
        <v>205.26315789500001</v>
      </c>
      <c r="I527" s="11">
        <v>153</v>
      </c>
      <c r="J527" s="11">
        <v>198</v>
      </c>
      <c r="K527" s="12">
        <f t="shared" si="8"/>
        <v>7.7647058823529411</v>
      </c>
    </row>
    <row r="528" spans="1:11" x14ac:dyDescent="0.3">
      <c r="A528" s="9">
        <v>534</v>
      </c>
      <c r="B528" t="s">
        <v>584</v>
      </c>
      <c r="C528" s="10">
        <v>31764</v>
      </c>
      <c r="D528" t="s">
        <v>4</v>
      </c>
      <c r="E528" s="11">
        <v>100</v>
      </c>
      <c r="F528" s="11">
        <v>127</v>
      </c>
      <c r="G528" s="12">
        <v>25.4</v>
      </c>
      <c r="H528" s="11">
        <v>127</v>
      </c>
      <c r="K528" s="12" t="str">
        <f t="shared" si="8"/>
        <v/>
      </c>
    </row>
    <row r="529" spans="1:11" x14ac:dyDescent="0.3">
      <c r="A529" s="9">
        <v>535</v>
      </c>
      <c r="B529" t="s">
        <v>585</v>
      </c>
      <c r="C529" s="10">
        <v>32075</v>
      </c>
      <c r="D529" t="s">
        <v>3</v>
      </c>
      <c r="E529" s="11">
        <v>124</v>
      </c>
      <c r="F529" s="11">
        <v>122</v>
      </c>
      <c r="G529" s="12">
        <v>10.166666666999999</v>
      </c>
      <c r="H529" s="11">
        <v>98.387096774</v>
      </c>
      <c r="I529" s="11">
        <v>2605</v>
      </c>
      <c r="J529" s="11">
        <v>3640</v>
      </c>
      <c r="K529" s="12">
        <f t="shared" si="8"/>
        <v>8.3838771593090211</v>
      </c>
    </row>
    <row r="530" spans="1:11" x14ac:dyDescent="0.3">
      <c r="A530" s="9">
        <v>536</v>
      </c>
      <c r="B530" t="s">
        <v>586</v>
      </c>
      <c r="H530" s="11"/>
      <c r="I530" s="11">
        <v>18</v>
      </c>
      <c r="J530" s="11">
        <v>35</v>
      </c>
      <c r="K530" s="12">
        <f t="shared" si="8"/>
        <v>11.666666666666666</v>
      </c>
    </row>
    <row r="531" spans="1:11" x14ac:dyDescent="0.3">
      <c r="A531" s="9">
        <v>537</v>
      </c>
      <c r="B531" t="s">
        <v>587</v>
      </c>
      <c r="C531" s="10">
        <v>32452</v>
      </c>
      <c r="D531" t="s">
        <v>3</v>
      </c>
      <c r="E531" s="11">
        <v>4111</v>
      </c>
      <c r="F531" s="11">
        <v>5426</v>
      </c>
      <c r="G531" s="12">
        <v>35.697368421</v>
      </c>
      <c r="H531" s="11">
        <v>131.98735100900001</v>
      </c>
      <c r="I531" s="11">
        <v>264</v>
      </c>
      <c r="J531" s="11">
        <v>371</v>
      </c>
      <c r="K531" s="12">
        <f t="shared" si="8"/>
        <v>8.4318181818181817</v>
      </c>
    </row>
    <row r="532" spans="1:11" x14ac:dyDescent="0.3">
      <c r="A532" s="9">
        <v>538</v>
      </c>
      <c r="B532" t="s">
        <v>588</v>
      </c>
      <c r="C532" s="10">
        <v>33727</v>
      </c>
      <c r="D532" t="s">
        <v>3</v>
      </c>
      <c r="E532" s="11">
        <v>1</v>
      </c>
      <c r="F532" s="11">
        <v>0</v>
      </c>
      <c r="G532" s="12">
        <v>0</v>
      </c>
      <c r="H532" s="11">
        <v>0</v>
      </c>
      <c r="I532" s="11">
        <v>211</v>
      </c>
      <c r="J532" s="11">
        <v>300</v>
      </c>
      <c r="K532" s="12">
        <f t="shared" si="8"/>
        <v>8.5308056872037916</v>
      </c>
    </row>
    <row r="533" spans="1:11" x14ac:dyDescent="0.3">
      <c r="A533" s="9">
        <v>539</v>
      </c>
      <c r="B533" t="s">
        <v>589</v>
      </c>
      <c r="C533" s="10">
        <v>28783</v>
      </c>
      <c r="D533" t="s">
        <v>3</v>
      </c>
      <c r="E533" s="11">
        <v>1746</v>
      </c>
      <c r="F533" s="11">
        <v>2728</v>
      </c>
      <c r="G533" s="12">
        <v>27.836734694</v>
      </c>
      <c r="H533" s="11">
        <v>156.24284077900001</v>
      </c>
      <c r="I533" s="11">
        <v>138</v>
      </c>
      <c r="J533" s="11">
        <v>236</v>
      </c>
      <c r="K533" s="12">
        <f t="shared" si="8"/>
        <v>10.260869565217391</v>
      </c>
    </row>
    <row r="534" spans="1:11" x14ac:dyDescent="0.3">
      <c r="A534" s="9">
        <v>540</v>
      </c>
      <c r="B534" t="s">
        <v>590</v>
      </c>
      <c r="C534" s="10">
        <v>33264</v>
      </c>
      <c r="D534" t="s">
        <v>3</v>
      </c>
      <c r="E534" s="11">
        <v>416</v>
      </c>
      <c r="F534" s="11">
        <v>563</v>
      </c>
      <c r="G534" s="12">
        <v>33.117647058999999</v>
      </c>
      <c r="H534" s="11">
        <v>135.33653846199999</v>
      </c>
      <c r="I534" s="11">
        <v>92</v>
      </c>
      <c r="J534" s="11">
        <v>154</v>
      </c>
      <c r="K534" s="12">
        <f t="shared" si="8"/>
        <v>10.043478260869565</v>
      </c>
    </row>
    <row r="535" spans="1:11" x14ac:dyDescent="0.3">
      <c r="A535" s="9">
        <v>541</v>
      </c>
      <c r="B535" t="s">
        <v>591</v>
      </c>
      <c r="C535" s="10">
        <v>34661</v>
      </c>
      <c r="D535" t="s">
        <v>3</v>
      </c>
      <c r="E535" s="11">
        <v>26</v>
      </c>
      <c r="F535" s="11">
        <v>29</v>
      </c>
      <c r="G535" s="12">
        <v>14.5</v>
      </c>
      <c r="H535" s="11">
        <v>111.53846153800001</v>
      </c>
      <c r="K535" s="12" t="str">
        <f t="shared" si="8"/>
        <v/>
      </c>
    </row>
    <row r="536" spans="1:11" x14ac:dyDescent="0.3">
      <c r="A536" s="9">
        <v>542</v>
      </c>
      <c r="B536" t="s">
        <v>592</v>
      </c>
      <c r="E536" s="11">
        <v>26</v>
      </c>
      <c r="F536" s="11">
        <v>19</v>
      </c>
      <c r="G536" s="12">
        <v>6.3333333329999997</v>
      </c>
      <c r="H536" s="11">
        <v>73.076923077000004</v>
      </c>
      <c r="K536" s="12" t="str">
        <f t="shared" si="8"/>
        <v/>
      </c>
    </row>
    <row r="537" spans="1:11" x14ac:dyDescent="0.3">
      <c r="A537" s="9">
        <v>543</v>
      </c>
      <c r="B537" t="s">
        <v>593</v>
      </c>
      <c r="C537" s="10">
        <v>32810</v>
      </c>
      <c r="D537" t="s">
        <v>3</v>
      </c>
      <c r="E537" s="11">
        <v>62</v>
      </c>
      <c r="F537" s="11">
        <v>49</v>
      </c>
      <c r="G537" s="12">
        <v>16.333333332999999</v>
      </c>
      <c r="H537" s="11">
        <v>79.032258064999994</v>
      </c>
      <c r="I537" s="11">
        <v>978</v>
      </c>
      <c r="J537" s="11">
        <v>1392</v>
      </c>
      <c r="K537" s="12">
        <f t="shared" si="8"/>
        <v>8.5398773006134974</v>
      </c>
    </row>
    <row r="538" spans="1:11" x14ac:dyDescent="0.3">
      <c r="A538" s="9">
        <v>544</v>
      </c>
      <c r="B538" t="s">
        <v>594</v>
      </c>
      <c r="C538" s="10">
        <v>30942</v>
      </c>
      <c r="D538" t="s">
        <v>3</v>
      </c>
      <c r="E538" s="11">
        <v>2</v>
      </c>
      <c r="F538" s="11">
        <v>4</v>
      </c>
      <c r="G538" s="12">
        <v>4</v>
      </c>
      <c r="H538" s="11">
        <v>200</v>
      </c>
      <c r="I538" s="11">
        <v>371</v>
      </c>
      <c r="J538" s="11">
        <v>549</v>
      </c>
      <c r="K538" s="12">
        <f t="shared" si="8"/>
        <v>8.8787061994609164</v>
      </c>
    </row>
    <row r="539" spans="1:11" x14ac:dyDescent="0.3">
      <c r="A539" s="9">
        <v>545</v>
      </c>
      <c r="B539" t="s">
        <v>595</v>
      </c>
      <c r="C539" s="10">
        <v>30445</v>
      </c>
      <c r="D539" t="s">
        <v>3</v>
      </c>
      <c r="E539" s="11">
        <v>7</v>
      </c>
      <c r="F539" s="11">
        <v>7</v>
      </c>
      <c r="G539" s="12">
        <v>7</v>
      </c>
      <c r="H539" s="11">
        <v>100</v>
      </c>
      <c r="I539" s="11">
        <v>212</v>
      </c>
      <c r="J539" s="11">
        <v>268</v>
      </c>
      <c r="K539" s="12">
        <f t="shared" si="8"/>
        <v>7.5849056603773581</v>
      </c>
    </row>
    <row r="540" spans="1:11" x14ac:dyDescent="0.3">
      <c r="A540" s="9">
        <v>546</v>
      </c>
      <c r="B540" t="s">
        <v>596</v>
      </c>
      <c r="C540" s="10">
        <v>31160</v>
      </c>
      <c r="D540" t="s">
        <v>3</v>
      </c>
      <c r="E540" s="11">
        <v>2</v>
      </c>
      <c r="F540" s="11">
        <v>2</v>
      </c>
      <c r="G540" s="12">
        <v>2</v>
      </c>
      <c r="H540" s="11">
        <v>100</v>
      </c>
      <c r="I540" s="11">
        <v>32</v>
      </c>
      <c r="J540" s="11">
        <v>61</v>
      </c>
      <c r="K540" s="12">
        <f t="shared" si="8"/>
        <v>11.4375</v>
      </c>
    </row>
    <row r="541" spans="1:11" x14ac:dyDescent="0.3">
      <c r="A541" s="9">
        <v>547</v>
      </c>
      <c r="B541" t="s">
        <v>597</v>
      </c>
      <c r="C541" s="10">
        <v>27334</v>
      </c>
      <c r="D541" t="s">
        <v>3</v>
      </c>
      <c r="E541" s="11">
        <v>266</v>
      </c>
      <c r="F541" s="11">
        <v>282</v>
      </c>
      <c r="G541" s="12">
        <v>17.625</v>
      </c>
      <c r="H541" s="11">
        <v>106.01503759400001</v>
      </c>
      <c r="K541" s="12" t="str">
        <f t="shared" si="8"/>
        <v/>
      </c>
    </row>
    <row r="542" spans="1:11" x14ac:dyDescent="0.3">
      <c r="A542" s="9">
        <v>548</v>
      </c>
      <c r="B542" t="s">
        <v>598</v>
      </c>
      <c r="C542" s="10">
        <v>32132</v>
      </c>
      <c r="D542" t="s">
        <v>3</v>
      </c>
      <c r="E542" s="11">
        <v>26</v>
      </c>
      <c r="F542" s="11">
        <v>15</v>
      </c>
      <c r="G542" s="12">
        <v>7.5</v>
      </c>
      <c r="H542" s="11">
        <v>57.692307692</v>
      </c>
      <c r="I542" s="11">
        <v>359</v>
      </c>
      <c r="J542" s="11">
        <v>511</v>
      </c>
      <c r="K542" s="12">
        <f t="shared" si="8"/>
        <v>8.5403899721448457</v>
      </c>
    </row>
    <row r="543" spans="1:11" x14ac:dyDescent="0.3">
      <c r="A543" s="9">
        <v>549</v>
      </c>
      <c r="B543" t="s">
        <v>599</v>
      </c>
      <c r="C543" s="10">
        <v>28537</v>
      </c>
      <c r="D543" t="s">
        <v>3</v>
      </c>
      <c r="E543" s="11">
        <v>121</v>
      </c>
      <c r="F543" s="11">
        <v>130</v>
      </c>
      <c r="G543" s="12">
        <v>18.571428570999998</v>
      </c>
      <c r="H543" s="11">
        <v>107.438016529</v>
      </c>
      <c r="K543" s="12" t="str">
        <f t="shared" si="8"/>
        <v/>
      </c>
    </row>
    <row r="544" spans="1:11" x14ac:dyDescent="0.3">
      <c r="A544" s="9">
        <v>550</v>
      </c>
      <c r="B544" t="s">
        <v>600</v>
      </c>
      <c r="C544" s="10">
        <v>29849</v>
      </c>
      <c r="D544" t="s">
        <v>3</v>
      </c>
      <c r="E544" s="11">
        <v>73</v>
      </c>
      <c r="F544" s="11">
        <v>56</v>
      </c>
      <c r="G544" s="12">
        <v>11.2</v>
      </c>
      <c r="H544" s="11">
        <v>76.712328767000002</v>
      </c>
      <c r="I544" s="11">
        <v>75</v>
      </c>
      <c r="J544" s="11">
        <v>98</v>
      </c>
      <c r="K544" s="12">
        <f t="shared" si="8"/>
        <v>7.84</v>
      </c>
    </row>
    <row r="545" spans="1:11" x14ac:dyDescent="0.3">
      <c r="A545" s="9">
        <v>551</v>
      </c>
      <c r="B545" t="s">
        <v>601</v>
      </c>
      <c r="E545" s="11">
        <v>50</v>
      </c>
      <c r="F545" s="11">
        <v>75</v>
      </c>
      <c r="G545" s="12">
        <v>12.5</v>
      </c>
      <c r="H545" s="11">
        <v>150</v>
      </c>
      <c r="I545" s="11">
        <v>358</v>
      </c>
      <c r="J545" s="11">
        <v>467</v>
      </c>
      <c r="K545" s="12">
        <f t="shared" si="8"/>
        <v>7.8268156424581008</v>
      </c>
    </row>
    <row r="546" spans="1:11" x14ac:dyDescent="0.3">
      <c r="A546" s="9">
        <v>552</v>
      </c>
      <c r="B546" t="s">
        <v>602</v>
      </c>
      <c r="C546" s="10">
        <v>32719</v>
      </c>
      <c r="D546" t="s">
        <v>7</v>
      </c>
      <c r="E546" s="11">
        <v>75</v>
      </c>
      <c r="F546" s="11">
        <v>63</v>
      </c>
      <c r="G546" s="12">
        <v>7</v>
      </c>
      <c r="H546" s="11">
        <v>84</v>
      </c>
      <c r="I546" s="11">
        <v>601</v>
      </c>
      <c r="J546" s="11">
        <v>731</v>
      </c>
      <c r="K546" s="12">
        <f t="shared" si="8"/>
        <v>7.2978369384359398</v>
      </c>
    </row>
    <row r="547" spans="1:11" x14ac:dyDescent="0.3">
      <c r="A547" s="9">
        <v>553</v>
      </c>
      <c r="B547" t="s">
        <v>603</v>
      </c>
      <c r="C547" s="10">
        <v>30979</v>
      </c>
      <c r="D547" t="s">
        <v>3</v>
      </c>
      <c r="E547" s="11">
        <v>1340</v>
      </c>
      <c r="F547" s="11">
        <v>1767</v>
      </c>
      <c r="G547" s="12">
        <v>23.878378378000001</v>
      </c>
      <c r="H547" s="11">
        <v>131.865671642</v>
      </c>
      <c r="K547" s="12" t="str">
        <f t="shared" si="8"/>
        <v/>
      </c>
    </row>
    <row r="548" spans="1:11" x14ac:dyDescent="0.3">
      <c r="A548" s="9">
        <v>554</v>
      </c>
      <c r="B548" t="s">
        <v>604</v>
      </c>
      <c r="C548" s="10">
        <v>27056</v>
      </c>
      <c r="D548" t="s">
        <v>91</v>
      </c>
      <c r="E548" s="11">
        <v>73</v>
      </c>
      <c r="F548" s="11">
        <v>81</v>
      </c>
      <c r="G548" s="12">
        <v>11.571428571</v>
      </c>
      <c r="H548" s="11">
        <v>110.95890411000001</v>
      </c>
      <c r="I548" s="11">
        <v>288</v>
      </c>
      <c r="J548" s="11">
        <v>364</v>
      </c>
      <c r="K548" s="12">
        <f t="shared" si="8"/>
        <v>7.583333333333333</v>
      </c>
    </row>
    <row r="549" spans="1:11" x14ac:dyDescent="0.3">
      <c r="A549" s="9">
        <v>555</v>
      </c>
      <c r="B549" t="s">
        <v>605</v>
      </c>
      <c r="C549" s="10">
        <v>31182</v>
      </c>
      <c r="D549" t="s">
        <v>3</v>
      </c>
      <c r="E549" s="11">
        <v>17</v>
      </c>
      <c r="F549" s="11">
        <v>10</v>
      </c>
      <c r="G549" s="12">
        <v>10</v>
      </c>
      <c r="H549" s="11">
        <v>58.823529411999999</v>
      </c>
      <c r="K549" s="12" t="str">
        <f t="shared" si="8"/>
        <v/>
      </c>
    </row>
    <row r="550" spans="1:11" x14ac:dyDescent="0.3">
      <c r="A550" s="9">
        <v>556</v>
      </c>
      <c r="B550" t="s">
        <v>606</v>
      </c>
      <c r="C550" s="10">
        <v>30919</v>
      </c>
      <c r="D550" t="s">
        <v>3</v>
      </c>
      <c r="E550" s="11">
        <v>17</v>
      </c>
      <c r="F550" s="11">
        <v>19</v>
      </c>
      <c r="G550" s="12">
        <v>19</v>
      </c>
      <c r="H550" s="11">
        <v>111.764705882</v>
      </c>
      <c r="I550" s="11">
        <v>6</v>
      </c>
      <c r="J550" s="11">
        <v>7</v>
      </c>
      <c r="K550" s="12">
        <f t="shared" si="8"/>
        <v>7</v>
      </c>
    </row>
    <row r="551" spans="1:11" x14ac:dyDescent="0.3">
      <c r="A551" s="9">
        <v>557</v>
      </c>
      <c r="B551" t="s">
        <v>607</v>
      </c>
      <c r="C551" s="10">
        <v>32879</v>
      </c>
      <c r="D551" t="s">
        <v>3</v>
      </c>
      <c r="E551" s="11">
        <v>257</v>
      </c>
      <c r="F551" s="11">
        <v>285</v>
      </c>
      <c r="G551" s="12">
        <v>19</v>
      </c>
      <c r="H551" s="11">
        <v>110.89494163400001</v>
      </c>
      <c r="I551" s="11">
        <v>72</v>
      </c>
      <c r="J551" s="11">
        <v>125</v>
      </c>
      <c r="K551" s="12">
        <f t="shared" si="8"/>
        <v>10.416666666666666</v>
      </c>
    </row>
    <row r="552" spans="1:11" x14ac:dyDescent="0.3">
      <c r="A552" s="9">
        <v>558</v>
      </c>
      <c r="B552" t="s">
        <v>608</v>
      </c>
      <c r="C552" s="10">
        <v>30008</v>
      </c>
      <c r="D552" t="s">
        <v>3</v>
      </c>
      <c r="E552" s="11">
        <v>834</v>
      </c>
      <c r="F552" s="11">
        <v>985</v>
      </c>
      <c r="G552" s="12">
        <v>23.452380951999999</v>
      </c>
      <c r="H552" s="11">
        <v>118.105515588</v>
      </c>
      <c r="I552" s="11">
        <v>222</v>
      </c>
      <c r="J552" s="11">
        <v>338</v>
      </c>
      <c r="K552" s="12">
        <f t="shared" si="8"/>
        <v>9.1351351351351351</v>
      </c>
    </row>
    <row r="553" spans="1:11" x14ac:dyDescent="0.3">
      <c r="A553" s="9">
        <v>559</v>
      </c>
      <c r="B553" t="s">
        <v>609</v>
      </c>
      <c r="C553" s="10">
        <v>30333</v>
      </c>
      <c r="D553" t="s">
        <v>3</v>
      </c>
      <c r="E553" s="11">
        <v>1</v>
      </c>
      <c r="F553" s="11">
        <v>0</v>
      </c>
      <c r="H553" s="11">
        <v>0</v>
      </c>
      <c r="I553" s="11">
        <v>222</v>
      </c>
      <c r="J553" s="11">
        <v>311</v>
      </c>
      <c r="K553" s="12">
        <f t="shared" si="8"/>
        <v>8.4054054054054053</v>
      </c>
    </row>
    <row r="554" spans="1:11" x14ac:dyDescent="0.3">
      <c r="A554" s="9">
        <v>560</v>
      </c>
      <c r="B554" t="s">
        <v>610</v>
      </c>
      <c r="C554" s="10">
        <v>29917</v>
      </c>
      <c r="D554" t="s">
        <v>3</v>
      </c>
      <c r="E554" s="11">
        <v>66</v>
      </c>
      <c r="F554" s="11">
        <v>47</v>
      </c>
      <c r="G554" s="12">
        <v>11.75</v>
      </c>
      <c r="H554" s="11">
        <v>71.212121212</v>
      </c>
      <c r="K554" s="12" t="str">
        <f t="shared" si="8"/>
        <v/>
      </c>
    </row>
    <row r="555" spans="1:11" x14ac:dyDescent="0.3">
      <c r="A555" s="9">
        <v>561</v>
      </c>
      <c r="B555" t="s">
        <v>611</v>
      </c>
      <c r="C555" s="10">
        <v>30272</v>
      </c>
      <c r="D555" t="s">
        <v>3</v>
      </c>
      <c r="E555" s="11">
        <v>2240</v>
      </c>
      <c r="F555" s="11">
        <v>3222</v>
      </c>
      <c r="G555" s="12">
        <v>29.290909091</v>
      </c>
      <c r="H555" s="11">
        <v>143.839285714</v>
      </c>
      <c r="I555" s="11">
        <v>1184</v>
      </c>
      <c r="J555" s="11">
        <v>1443</v>
      </c>
      <c r="K555" s="12">
        <f t="shared" si="8"/>
        <v>7.3125</v>
      </c>
    </row>
    <row r="556" spans="1:11" x14ac:dyDescent="0.3">
      <c r="A556" s="9">
        <v>562</v>
      </c>
      <c r="B556" t="s">
        <v>612</v>
      </c>
      <c r="C556" s="10">
        <v>28458</v>
      </c>
      <c r="D556" t="s">
        <v>5</v>
      </c>
      <c r="E556" s="11">
        <v>7</v>
      </c>
      <c r="F556" s="11">
        <v>3</v>
      </c>
      <c r="G556" s="12">
        <v>3</v>
      </c>
      <c r="H556" s="11">
        <v>42.857142856999999</v>
      </c>
      <c r="K556" s="12" t="str">
        <f t="shared" si="8"/>
        <v/>
      </c>
    </row>
    <row r="557" spans="1:11" x14ac:dyDescent="0.3">
      <c r="A557" s="9">
        <v>563</v>
      </c>
      <c r="B557" t="s">
        <v>613</v>
      </c>
      <c r="C557" s="10">
        <v>33077</v>
      </c>
      <c r="D557" t="s">
        <v>3</v>
      </c>
      <c r="E557" s="11">
        <v>48</v>
      </c>
      <c r="F557" s="11">
        <v>22</v>
      </c>
      <c r="G557" s="12">
        <v>5.5</v>
      </c>
      <c r="H557" s="11">
        <v>45.833333332999999</v>
      </c>
      <c r="I557" s="11">
        <v>1841</v>
      </c>
      <c r="J557" s="11">
        <v>2416</v>
      </c>
      <c r="K557" s="12">
        <f t="shared" si="8"/>
        <v>7.8739815317762094</v>
      </c>
    </row>
    <row r="558" spans="1:11" x14ac:dyDescent="0.3">
      <c r="A558" s="9">
        <v>564</v>
      </c>
      <c r="B558" t="s">
        <v>614</v>
      </c>
      <c r="C558" s="10">
        <v>29932</v>
      </c>
      <c r="D558" t="s">
        <v>3</v>
      </c>
      <c r="E558" s="11">
        <v>2121</v>
      </c>
      <c r="F558" s="11">
        <v>2755</v>
      </c>
      <c r="G558" s="12">
        <v>25.275229358000001</v>
      </c>
      <c r="H558" s="11">
        <v>129.89156058500001</v>
      </c>
      <c r="I558" s="11">
        <v>882</v>
      </c>
      <c r="J558" s="11">
        <v>1092</v>
      </c>
      <c r="K558" s="12">
        <f t="shared" si="8"/>
        <v>7.4285714285714288</v>
      </c>
    </row>
    <row r="559" spans="1:11" x14ac:dyDescent="0.3">
      <c r="A559" s="9">
        <v>565</v>
      </c>
      <c r="B559" t="s">
        <v>615</v>
      </c>
      <c r="C559" s="10">
        <v>30991</v>
      </c>
      <c r="D559" t="s">
        <v>3</v>
      </c>
      <c r="E559" s="11">
        <v>178</v>
      </c>
      <c r="F559" s="11">
        <v>192</v>
      </c>
      <c r="G559" s="12">
        <v>24</v>
      </c>
      <c r="H559" s="11">
        <v>107.865168539</v>
      </c>
      <c r="K559" s="12" t="str">
        <f t="shared" si="8"/>
        <v/>
      </c>
    </row>
    <row r="560" spans="1:11" x14ac:dyDescent="0.3">
      <c r="A560" s="9">
        <v>566</v>
      </c>
      <c r="B560" t="s">
        <v>616</v>
      </c>
      <c r="C560" s="10">
        <v>28770</v>
      </c>
      <c r="D560" t="s">
        <v>3</v>
      </c>
      <c r="E560" s="11">
        <v>138</v>
      </c>
      <c r="F560" s="11">
        <v>117</v>
      </c>
      <c r="G560" s="12">
        <v>7.8</v>
      </c>
      <c r="H560" s="11">
        <v>84.782608695999997</v>
      </c>
      <c r="I560" s="11">
        <v>2276</v>
      </c>
      <c r="J560" s="11">
        <v>2860</v>
      </c>
      <c r="K560" s="12">
        <f t="shared" si="8"/>
        <v>7.5395430579964851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FD99B-DEEB-417E-8BC8-98CEA02836F0}">
  <dimension ref="A1:J25"/>
  <sheetViews>
    <sheetView tabSelected="1" workbookViewId="0"/>
  </sheetViews>
  <sheetFormatPr defaultRowHeight="17.399999999999999" x14ac:dyDescent="0.45"/>
  <cols>
    <col min="1" max="10" width="206.6640625" style="16" customWidth="1"/>
    <col min="11" max="16384" width="8.88671875" style="17"/>
  </cols>
  <sheetData>
    <row r="1" spans="1:10" ht="27" x14ac:dyDescent="0.6">
      <c r="A1" s="22" t="s">
        <v>626</v>
      </c>
      <c r="B1" s="15"/>
      <c r="C1" s="15"/>
      <c r="D1" s="15"/>
      <c r="E1" s="15"/>
      <c r="F1" s="15"/>
    </row>
    <row r="2" spans="1:10" ht="25.2" x14ac:dyDescent="0.6">
      <c r="A2" s="18"/>
      <c r="B2" s="18"/>
      <c r="C2" s="18"/>
      <c r="D2" s="18"/>
      <c r="E2" s="18"/>
      <c r="F2" s="18"/>
    </row>
    <row r="3" spans="1:10" ht="25.2" x14ac:dyDescent="0.6">
      <c r="A3" s="18"/>
      <c r="B3" s="18"/>
      <c r="C3" s="18"/>
      <c r="D3" s="18"/>
      <c r="E3" s="18"/>
      <c r="F3" s="18"/>
    </row>
    <row r="4" spans="1:10" ht="25.2" x14ac:dyDescent="0.6">
      <c r="A4" s="18"/>
      <c r="B4" s="18"/>
      <c r="C4" s="18"/>
      <c r="D4" s="18"/>
      <c r="E4" s="18"/>
      <c r="F4" s="18"/>
    </row>
    <row r="5" spans="1:10" ht="25.2" x14ac:dyDescent="0.6">
      <c r="A5" s="18"/>
      <c r="B5" s="18"/>
      <c r="C5" s="19"/>
      <c r="D5" s="18"/>
      <c r="E5" s="18"/>
      <c r="F5" s="18"/>
    </row>
    <row r="6" spans="1:10" ht="25.2" x14ac:dyDescent="0.6">
      <c r="A6" s="18"/>
      <c r="B6" s="18"/>
      <c r="C6" s="19"/>
      <c r="D6" s="18"/>
      <c r="E6" s="18"/>
      <c r="F6" s="18"/>
    </row>
    <row r="7" spans="1:10" ht="25.2" x14ac:dyDescent="0.6">
      <c r="A7" s="18"/>
      <c r="B7" s="18"/>
      <c r="C7" s="18"/>
      <c r="D7" s="18"/>
      <c r="E7" s="18"/>
      <c r="F7" s="18"/>
      <c r="J7" s="20"/>
    </row>
    <row r="8" spans="1:10" ht="25.2" x14ac:dyDescent="0.6">
      <c r="A8" s="18"/>
      <c r="B8" s="18"/>
      <c r="C8" s="18"/>
      <c r="D8" s="18"/>
      <c r="E8" s="18"/>
      <c r="F8" s="18"/>
      <c r="J8" s="21"/>
    </row>
    <row r="9" spans="1:10" ht="25.2" x14ac:dyDescent="0.6">
      <c r="A9" s="18"/>
      <c r="B9" s="18"/>
      <c r="C9" s="18"/>
      <c r="D9" s="18"/>
      <c r="E9" s="18"/>
      <c r="F9" s="18"/>
      <c r="J9" s="20"/>
    </row>
    <row r="10" spans="1:10" ht="25.2" x14ac:dyDescent="0.6">
      <c r="A10" s="18"/>
      <c r="B10" s="18"/>
      <c r="C10" s="18"/>
      <c r="D10" s="18"/>
      <c r="E10" s="18"/>
      <c r="F10" s="18"/>
    </row>
    <row r="11" spans="1:10" ht="25.2" x14ac:dyDescent="0.6">
      <c r="A11" s="18"/>
      <c r="B11" s="18"/>
      <c r="C11" s="20"/>
      <c r="D11" s="18"/>
      <c r="E11" s="18"/>
      <c r="F11" s="18"/>
    </row>
    <row r="12" spans="1:10" ht="25.2" x14ac:dyDescent="0.6">
      <c r="A12" s="18"/>
      <c r="B12" s="18"/>
      <c r="C12" s="21"/>
      <c r="D12" s="18"/>
      <c r="E12" s="18"/>
      <c r="F12" s="18"/>
    </row>
    <row r="13" spans="1:10" ht="25.2" x14ac:dyDescent="0.6">
      <c r="A13" s="18"/>
      <c r="B13" s="18"/>
      <c r="C13" s="20"/>
      <c r="D13" s="18"/>
      <c r="E13" s="18"/>
      <c r="F13" s="18"/>
    </row>
    <row r="14" spans="1:10" ht="25.2" x14ac:dyDescent="0.6">
      <c r="A14" s="18"/>
      <c r="B14" s="18"/>
      <c r="C14" s="18"/>
      <c r="D14" s="18"/>
      <c r="E14" s="18"/>
      <c r="F14" s="18"/>
      <c r="J14" s="20"/>
    </row>
    <row r="15" spans="1:10" ht="25.2" x14ac:dyDescent="0.6">
      <c r="A15" s="18"/>
      <c r="B15" s="18"/>
      <c r="C15" s="18"/>
      <c r="D15" s="18"/>
      <c r="E15" s="18"/>
      <c r="F15" s="18"/>
      <c r="J15" s="21"/>
    </row>
    <row r="16" spans="1:10" ht="25.2" x14ac:dyDescent="0.6">
      <c r="A16" s="18"/>
      <c r="B16" s="18"/>
      <c r="C16" s="18"/>
      <c r="D16" s="18"/>
      <c r="E16" s="18"/>
      <c r="F16" s="18"/>
      <c r="J16" s="20"/>
    </row>
    <row r="17" spans="1:10" ht="25.2" x14ac:dyDescent="0.6">
      <c r="A17" s="18"/>
      <c r="B17" s="18"/>
      <c r="C17" s="18"/>
      <c r="D17" s="18"/>
      <c r="E17" s="18"/>
      <c r="F17" s="18"/>
      <c r="J17" s="21"/>
    </row>
    <row r="18" spans="1:10" ht="25.2" x14ac:dyDescent="0.6">
      <c r="A18" s="18"/>
      <c r="B18" s="18"/>
      <c r="C18" s="18"/>
      <c r="D18" s="18"/>
      <c r="E18" s="18"/>
      <c r="F18" s="18"/>
    </row>
    <row r="19" spans="1:10" ht="25.2" x14ac:dyDescent="0.6">
      <c r="A19" s="18"/>
      <c r="B19" s="18"/>
      <c r="C19" s="18"/>
      <c r="D19" s="18"/>
      <c r="E19" s="18"/>
      <c r="F19" s="18"/>
    </row>
    <row r="20" spans="1:10" ht="25.2" x14ac:dyDescent="0.6">
      <c r="A20" s="18"/>
      <c r="B20" s="18"/>
      <c r="C20" s="18"/>
      <c r="D20" s="18"/>
      <c r="E20" s="18"/>
      <c r="F20" s="18"/>
    </row>
    <row r="21" spans="1:10" ht="25.2" x14ac:dyDescent="0.6">
      <c r="A21" s="18"/>
      <c r="B21" s="18"/>
      <c r="C21" s="18"/>
      <c r="D21" s="18"/>
      <c r="E21" s="18"/>
      <c r="F21" s="18"/>
    </row>
    <row r="22" spans="1:10" ht="25.2" x14ac:dyDescent="0.6">
      <c r="A22" s="18"/>
      <c r="B22" s="18"/>
      <c r="C22" s="18"/>
      <c r="D22" s="18"/>
      <c r="E22" s="18"/>
      <c r="F22" s="18"/>
    </row>
    <row r="23" spans="1:10" ht="25.2" x14ac:dyDescent="0.6">
      <c r="A23" s="18"/>
      <c r="B23" s="18"/>
      <c r="C23" s="18"/>
      <c r="D23" s="18"/>
      <c r="E23" s="18"/>
      <c r="F23" s="18"/>
    </row>
    <row r="24" spans="1:10" ht="25.2" x14ac:dyDescent="0.6">
      <c r="A24" s="18"/>
      <c r="B24" s="18"/>
      <c r="C24" s="18"/>
      <c r="D24" s="18"/>
      <c r="E24" s="18"/>
      <c r="F24" s="18"/>
    </row>
    <row r="25" spans="1:10" ht="25.2" x14ac:dyDescent="0.6">
      <c r="A25" s="18"/>
      <c r="B25" s="18"/>
      <c r="C25" s="18"/>
      <c r="D25" s="18"/>
      <c r="E25" s="18"/>
      <c r="F25" s="18"/>
    </row>
  </sheetData>
  <phoneticPr fontId="3"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0F8B1-B252-4B0A-A7CD-305EF6DDA99E}">
  <dimension ref="A1:C18"/>
  <sheetViews>
    <sheetView workbookViewId="0">
      <selection sqref="A1:C18"/>
    </sheetView>
  </sheetViews>
  <sheetFormatPr defaultRowHeight="14.4" x14ac:dyDescent="0.3"/>
  <cols>
    <col min="2" max="2" width="65.6640625" bestFit="1" customWidth="1"/>
    <col min="3" max="3" width="64.6640625" bestFit="1" customWidth="1"/>
  </cols>
  <sheetData>
    <row r="1" spans="1:3" ht="21" x14ac:dyDescent="0.4">
      <c r="A1" s="2" t="s">
        <v>26</v>
      </c>
      <c r="B1" s="2" t="s">
        <v>27</v>
      </c>
      <c r="C1" s="2" t="s">
        <v>44</v>
      </c>
    </row>
    <row r="2" spans="1:3" ht="21" x14ac:dyDescent="0.4">
      <c r="A2" s="1">
        <v>1</v>
      </c>
      <c r="B2" s="1" t="s">
        <v>8</v>
      </c>
      <c r="C2" s="1" t="s">
        <v>28</v>
      </c>
    </row>
    <row r="3" spans="1:3" ht="21" x14ac:dyDescent="0.4">
      <c r="A3" s="1">
        <v>2</v>
      </c>
      <c r="B3" s="1" t="s">
        <v>9</v>
      </c>
      <c r="C3" s="1" t="s">
        <v>28</v>
      </c>
    </row>
    <row r="4" spans="1:3" ht="21" x14ac:dyDescent="0.4">
      <c r="A4" s="1">
        <v>3</v>
      </c>
      <c r="B4" s="1" t="s">
        <v>10</v>
      </c>
      <c r="C4" s="1" t="s">
        <v>29</v>
      </c>
    </row>
    <row r="5" spans="1:3" ht="21" x14ac:dyDescent="0.4">
      <c r="A5" s="1">
        <v>4</v>
      </c>
      <c r="B5" s="1" t="s">
        <v>11</v>
      </c>
      <c r="C5" s="1" t="s">
        <v>30</v>
      </c>
    </row>
    <row r="6" spans="1:3" ht="21" x14ac:dyDescent="0.4">
      <c r="A6" s="1">
        <v>5</v>
      </c>
      <c r="B6" s="1" t="s">
        <v>12</v>
      </c>
      <c r="C6" s="1" t="s">
        <v>31</v>
      </c>
    </row>
    <row r="7" spans="1:3" ht="21" x14ac:dyDescent="0.4">
      <c r="A7" s="1">
        <v>6</v>
      </c>
      <c r="B7" s="1" t="s">
        <v>13</v>
      </c>
      <c r="C7" s="1" t="s">
        <v>32</v>
      </c>
    </row>
    <row r="8" spans="1:3" ht="21" x14ac:dyDescent="0.4">
      <c r="A8" s="1">
        <v>7</v>
      </c>
      <c r="B8" s="1" t="s">
        <v>14</v>
      </c>
      <c r="C8" s="1" t="s">
        <v>33</v>
      </c>
    </row>
    <row r="9" spans="1:3" ht="21" x14ac:dyDescent="0.4">
      <c r="A9" s="1">
        <v>8</v>
      </c>
      <c r="B9" s="1" t="s">
        <v>16</v>
      </c>
      <c r="C9" s="1" t="s">
        <v>36</v>
      </c>
    </row>
    <row r="10" spans="1:3" ht="21" x14ac:dyDescent="0.4">
      <c r="A10" s="1">
        <v>9</v>
      </c>
      <c r="B10" s="1" t="s">
        <v>17</v>
      </c>
      <c r="C10" s="1" t="s">
        <v>37</v>
      </c>
    </row>
    <row r="11" spans="1:3" ht="21" x14ac:dyDescent="0.4">
      <c r="A11" s="1">
        <v>10</v>
      </c>
      <c r="B11" s="1" t="s">
        <v>18</v>
      </c>
      <c r="C11" s="1" t="s">
        <v>38</v>
      </c>
    </row>
    <row r="12" spans="1:3" ht="21" x14ac:dyDescent="0.4">
      <c r="A12" s="1">
        <v>11</v>
      </c>
      <c r="B12" s="1" t="s">
        <v>19</v>
      </c>
      <c r="C12" s="1" t="s">
        <v>39</v>
      </c>
    </row>
    <row r="13" spans="1:3" ht="21" x14ac:dyDescent="0.4">
      <c r="A13" s="1">
        <v>12</v>
      </c>
      <c r="B13" s="1" t="s">
        <v>20</v>
      </c>
      <c r="C13" s="1" t="s">
        <v>34</v>
      </c>
    </row>
    <row r="14" spans="1:3" ht="21" x14ac:dyDescent="0.4">
      <c r="A14" s="1">
        <v>13</v>
      </c>
      <c r="B14" s="1" t="s">
        <v>21</v>
      </c>
      <c r="C14" s="1" t="s">
        <v>35</v>
      </c>
    </row>
    <row r="15" spans="1:3" ht="21" x14ac:dyDescent="0.4">
      <c r="A15" s="1">
        <v>14</v>
      </c>
      <c r="B15" s="1" t="s">
        <v>22</v>
      </c>
      <c r="C15" s="1" t="s">
        <v>40</v>
      </c>
    </row>
    <row r="16" spans="1:3" ht="21" x14ac:dyDescent="0.4">
      <c r="A16" s="1">
        <v>15</v>
      </c>
      <c r="B16" s="1" t="s">
        <v>23</v>
      </c>
      <c r="C16" s="1" t="s">
        <v>41</v>
      </c>
    </row>
    <row r="17" spans="1:3" ht="21" x14ac:dyDescent="0.4">
      <c r="A17" s="1">
        <v>16</v>
      </c>
      <c r="B17" s="1" t="s">
        <v>24</v>
      </c>
      <c r="C17" s="1" t="s">
        <v>42</v>
      </c>
    </row>
    <row r="18" spans="1:3" ht="21" x14ac:dyDescent="0.4">
      <c r="A18" s="1">
        <v>17</v>
      </c>
      <c r="B18" s="1" t="s">
        <v>25</v>
      </c>
      <c r="C18" s="1" t="s">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Sheet2</vt:lpstr>
      <vt:lpstr>Sheet3</vt:lpstr>
      <vt:lpstr>Sheet4</vt:lpstr>
      <vt:lpstr>Dataset</vt:lpstr>
      <vt:lpstr>Instructions</vt:lpstr>
      <vt:lpstr>Solution Sheet</vt:lpstr>
      <vt:lpstr>IPL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Narendira nath</dc:creator>
  <cp:lastModifiedBy>Prem Selva S</cp:lastModifiedBy>
  <dcterms:created xsi:type="dcterms:W3CDTF">2024-09-21T19:01:59Z</dcterms:created>
  <dcterms:modified xsi:type="dcterms:W3CDTF">2026-05-12T12:27:14Z</dcterms:modified>
</cp:coreProperties>
</file>